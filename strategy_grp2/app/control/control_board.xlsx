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Gandalf\sm-home\potentials\strategy_grp2\app\control\"/>
    </mc:Choice>
  </mc:AlternateContent>
  <xr:revisionPtr revIDLastSave="0" documentId="13_ncr:1_{1190B29A-56A1-40F1-94DA-0AF12E0EA7B5}" xr6:coauthVersionLast="47" xr6:coauthVersionMax="47" xr10:uidLastSave="{00000000-0000-0000-0000-000000000000}"/>
  <bookViews>
    <workbookView xWindow="20145" yWindow="2115" windowWidth="27345" windowHeight="15165" xr2:uid="{00000000-000D-0000-FFFF-FFFF00000000}"/>
  </bookViews>
  <sheets>
    <sheet name="Runs" sheetId="1" r:id="rId1"/>
    <sheet name="Settings" sheetId="2" r:id="rId2"/>
    <sheet name="Legend" sheetId="3" r:id="rId3"/>
  </sheets>
  <calcPr calcId="191029"/>
</workbook>
</file>

<file path=xl/calcChain.xml><?xml version="1.0" encoding="utf-8"?>
<calcChain xmlns="http://schemas.openxmlformats.org/spreadsheetml/2006/main">
  <c r="C4" i="1" l="1"/>
</calcChain>
</file>

<file path=xl/sharedStrings.xml><?xml version="1.0" encoding="utf-8"?>
<sst xmlns="http://schemas.openxmlformats.org/spreadsheetml/2006/main" count="347" uniqueCount="128">
  <si>
    <t>active</t>
  </si>
  <si>
    <t>purpose</t>
  </si>
  <si>
    <t>label</t>
  </si>
  <si>
    <t>note</t>
  </si>
  <si>
    <t>group_expression</t>
  </si>
  <si>
    <t>level</t>
  </si>
  <si>
    <t>persistence_window</t>
  </si>
  <si>
    <t>persistence_frac</t>
  </si>
  <si>
    <t>dominance_attribute</t>
  </si>
  <si>
    <t>dominance_direction</t>
  </si>
  <si>
    <t>dominance_decile</t>
  </si>
  <si>
    <t>dom_count_min</t>
  </si>
  <si>
    <t>tickers_per_group</t>
  </si>
  <si>
    <t>post_filter</t>
  </si>
  <si>
    <t>priority_attribute</t>
  </si>
  <si>
    <t>priority_direction</t>
  </si>
  <si>
    <t>from_rank</t>
  </si>
  <si>
    <t>focusset_size</t>
  </si>
  <si>
    <t>period</t>
  </si>
  <si>
    <t>no_go_gspc_rsi</t>
  </si>
  <si>
    <t>informational_attributes</t>
  </si>
  <si>
    <t>stop_loss</t>
  </si>
  <si>
    <t>wf_group</t>
  </si>
  <si>
    <t>x</t>
  </si>
  <si>
    <t>D</t>
  </si>
  <si>
    <t>Stamdata.GICS</t>
  </si>
  <si>
    <t>A</t>
  </si>
  <si>
    <t>rsi</t>
  </si>
  <si>
    <t>big_wins</t>
  </si>
  <si>
    <t>rank</t>
  </si>
  <si>
    <t>small_wins</t>
  </si>
  <si>
    <t>spr100d</t>
  </si>
  <si>
    <t>Stamdata.Sector2</t>
  </si>
  <si>
    <t>conf_Sector2</t>
  </si>
  <si>
    <t>Stamdata.Zone .and. Stamdata.GICS</t>
  </si>
  <si>
    <t>fr_best</t>
  </si>
  <si>
    <t>template, verified 2026-08-03 -- flip active to run</t>
  </si>
  <si>
    <t>fr_best,fr_mid,fr_worst</t>
  </si>
  <si>
    <t>fr_mid</t>
  </si>
  <si>
    <t>fr_worst</t>
  </si>
  <si>
    <t>Middle</t>
  </si>
  <si>
    <t>From strategy_grp</t>
  </si>
  <si>
    <t>B</t>
  </si>
  <si>
    <t>future_minaggr20d</t>
  </si>
  <si>
    <t>Agressive</t>
  </si>
  <si>
    <t>Calm</t>
  </si>
  <si>
    <t>setting</t>
  </si>
  <si>
    <t>value</t>
  </si>
  <si>
    <t>help</t>
  </si>
  <si>
    <t>min_chain_lots</t>
  </si>
  <si>
    <t>Lots a run's chain must realize before it may represent its row on the Step3_compare sheet (eligibility floor, not a hard stop — see strategy_grp CLAUDE.md's MIN_CHAIN_LOTS write-up).</t>
  </si>
  <si>
    <t>wf_min_train</t>
  </si>
  <si>
    <t>Walk-forward: minimum training window (daynums).</t>
  </si>
  <si>
    <t>wf_test_len</t>
  </si>
  <si>
    <t>Walk-forward: test window length (daynums).</t>
  </si>
  <si>
    <t>archive_on_run</t>
  </si>
  <si>
    <t>Move prior dated output workbooks to _archive/ once new output exists.</t>
  </si>
  <si>
    <t>production_strategy_count</t>
  </si>
  <si>
    <t>How many P-purpose rows' gross lists ship in StrategicStocks.xlsx.</t>
  </si>
  <si>
    <t>stop_sweep</t>
  </si>
  <si>
    <t>-5,-7.5,-10,-15,-20</t>
  </si>
  <si>
    <t>Comma-separated stop_loss levels Step3a_stopout re-scores each D row at (period in {20,50} only), alongside its own board stop_loss. Blank = no sweep sheet.</t>
  </si>
  <si>
    <t>stop_annual_tolerance</t>
  </si>
  <si>
    <t>Step3a_stopout's risk-first pick: the tightest stop (best Worst/N_loss) whose chain_annual gives up no more than this many percent of the unstopped baseline is flagged best.</t>
  </si>
  <si>
    <t>column</t>
  </si>
  <si>
    <t>step</t>
  </si>
  <si>
    <t>type</t>
  </si>
  <si>
    <t>default</t>
  </si>
  <si>
    <t>choices</t>
  </si>
  <si>
    <t>meta</t>
  </si>
  <si>
    <t>bool</t>
  </si>
  <si>
    <t>False</t>
  </si>
  <si>
    <t>x / blank — run this row this tick.</t>
  </si>
  <si>
    <t>choice</t>
  </si>
  <si>
    <t>P, D</t>
  </si>
  <si>
    <t>P = production (steps 0-2 only), D = development (steps 0-4).</t>
  </si>
  <si>
    <t>str</t>
  </si>
  <si>
    <t>Sheet/column header on the output board. Blank = auto-derived.</t>
  </si>
  <si>
    <t>Free text, carried through to the output board unchanged.</t>
  </si>
  <si>
    <t>expr</t>
  </si>
  <si>
    <t>e.g. Stamdata.Zone='NY' .and. Stamdata.GICS, or #ALL. A bare Stamdata column is a grouping dimension; a comparison is a universe filter; .and. joins terms.</t>
  </si>
  <si>
    <t>A, B, C</t>
  </si>
  <si>
    <t>A = today's dominance, B = 20d-persistent, C = 50d-persistent.</t>
  </si>
  <si>
    <t>int</t>
  </si>
  <si>
    <t>Trailing daynums for B/C persistence. Default: 20 for B, 50 for C. Ignored for level A.</t>
  </si>
  <si>
    <t>float</t>
  </si>
  <si>
    <t>0.6666666666666666</t>
  </si>
  <si>
    <t>Fraction of the trailing window that must have dominated (B/C only).</t>
  </si>
  <si>
    <t>Longi factor short name (longi_&lt;name&gt;.csv) deciding group elevation.</t>
  </si>
  <si>
    <t>direction</t>
  </si>
  <si>
    <t>True</t>
  </si>
  <si>
    <t>small_wins or big_wins for dominance_attribute.</t>
  </si>
  <si>
    <t>0.1</t>
  </si>
  <si>
    <t>Fraction of that day's own cross-sectional distribution a ticker must be within to qualify (0.10 = best decile).</t>
  </si>
  <si>
    <t>3</t>
  </si>
  <si>
    <t>Absolute floor on qualifying tickers a group needs to dominate.</t>
  </si>
  <si>
    <t>Top candidates drawn from EACH dominating group into the pooled test-set (per level: A=3, B=4, C=5 is SM's proposal).</t>
  </si>
  <si>
    <t>e.g. Longi.per1d&gt;0. Applied after Step-1 pooling; blank = none.</t>
  </si>
  <si>
    <t>Longi factor short name ranking candidates within/across groups.</t>
  </si>
  <si>
    <t>small_wins or big_wins for priority_attribute.</t>
  </si>
  <si>
    <t>1</t>
  </si>
  <si>
    <t>Window of the ranked pool to draw the focusset from: 1=best n, -1=worst n, 'mid' or a float in (0,1)=pool-relative window, an integer k&gt;=2=fixed offset. See param_spec.parse_from_rank.</t>
  </si>
  <si>
    <t>5</t>
  </si>
  <si>
    <t>Tickers in the final pick (gross-list size 10-20 typical in production).</t>
  </si>
  <si>
    <t>20</t>
  </si>
  <si>
    <t>1, 5, 10, 20, 50, 100, 200</t>
  </si>
  <si>
    <t>Forward horizon in trading days; must be a member of the seven-pack (1/5/10/20/50/100/200).</t>
  </si>
  <si>
    <t>0</t>
  </si>
  <si>
    <t>Suppress picks / chain hops when GSPC RSI (at daynum) &lt; this. 0 = off.</t>
  </si>
  <si>
    <t>list_str</t>
  </si>
  <si>
    <t>()</t>
  </si>
  <si>
    <t>Comma-separated Longi factor names shown for insight only; never affects selection.</t>
  </si>
  <si>
    <t>0.0</t>
  </si>
  <si>
    <t>Step 3a exit level, e.g. -10. A ticker whose longi_future_minaggr&lt;period&gt;d (worst drawdown from entry) breaches this has its lot gain capped here for the rest of the hold. 0/blank = off (today's behaviour). Requires period in {20, 50} -- the only horizons minaggr covers.</t>
  </si>
  <si>
    <t>Candidate pool (by label, comma-separated) for selection-skill scoring. Blank = every other active D-purpose row.</t>
  </si>
  <si>
    <t>per1d</t>
  </si>
  <si>
    <t>Stamdata.GICS .and. Stamdata.Zone='NY'</t>
  </si>
  <si>
    <t>Longi.per1d&gt;0</t>
  </si>
  <si>
    <t>4 (-1) NY</t>
  </si>
  <si>
    <t>4 (-1) NY post-filter</t>
  </si>
  <si>
    <t>5 (-1) NY</t>
  </si>
  <si>
    <t>5 (-1) NY post-filter</t>
  </si>
  <si>
    <t>Stamdata.Sector2 .and. Stamdata.Zone='NY'</t>
  </si>
  <si>
    <t>11 (-1) NY</t>
  </si>
  <si>
    <t>12 (-1) NY</t>
  </si>
  <si>
    <t>per1d,spr100d</t>
  </si>
  <si>
    <t>Longi.spr100d&lt;20</t>
  </si>
  <si>
    <t>Longi.spr100d&lt;50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</si>
</sst>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color theme="1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D6DCE4"/>
      </patternFill>
    </fill>
    <fill>
      <patternFill patternType="solid">
        <fgColor rgb="FFFFE59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9D2E9"/>
      </patternFill>
    </fill>
    <fill>
      <patternFill patternType="solid">
        <fgColor rgb="FFBDD7EE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0" fillId="0" borderId="0" xfId="0" applyAlignment="1">
      <alignment wrapText="1"/>
    </xf>
    <xf numFmtId="0" fontId="0" fillId="9" borderId="0" xfId="0" applyFill="1"/>
    <xf numFmtId="0" fontId="2" fillId="0" borderId="0" xfId="0" applyFont="1"/>
    <xf numFmtId="0" fontId="0" fillId="10" borderId="0" xfId="0" applyFill="1"/>
    <xf numFmtId="0" fontId="2" fillId="10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5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7.5703125" customWidth="1"/>
    <col min="2" max="2" width="8.85546875" customWidth="1"/>
    <col min="3" max="4" width="18" customWidth="1"/>
    <col min="5" max="5" width="39.140625" customWidth="1"/>
    <col min="6" max="6" width="7.140625" customWidth="1"/>
    <col min="7" max="7" width="18.7109375" customWidth="1"/>
    <col min="8" max="16" width="18" customWidth="1"/>
    <col min="17" max="17" width="10.5703125" customWidth="1"/>
    <col min="18" max="20" width="18" customWidth="1"/>
    <col min="21" max="21" width="48.42578125" customWidth="1"/>
    <col min="22" max="23" width="18" customWidth="1"/>
  </cols>
  <sheetData>
    <row r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6" t="s">
        <v>22</v>
      </c>
    </row>
    <row r="2" spans="1:23" x14ac:dyDescent="0.25">
      <c r="B2" t="s">
        <v>24</v>
      </c>
      <c r="C2">
        <v>0</v>
      </c>
      <c r="E2" t="s">
        <v>25</v>
      </c>
      <c r="F2" t="s">
        <v>26</v>
      </c>
      <c r="I2" t="s">
        <v>27</v>
      </c>
      <c r="J2" t="s">
        <v>28</v>
      </c>
      <c r="K2">
        <v>0.1</v>
      </c>
      <c r="L2">
        <v>10</v>
      </c>
      <c r="M2">
        <v>3</v>
      </c>
      <c r="O2" t="s">
        <v>29</v>
      </c>
      <c r="P2" t="s">
        <v>30</v>
      </c>
      <c r="Q2">
        <v>1</v>
      </c>
      <c r="R2">
        <v>5</v>
      </c>
      <c r="S2">
        <v>20</v>
      </c>
      <c r="T2">
        <v>0</v>
      </c>
      <c r="U2" t="s">
        <v>115</v>
      </c>
      <c r="V2">
        <v>0</v>
      </c>
    </row>
    <row r="3" spans="1:23" x14ac:dyDescent="0.25">
      <c r="B3" t="s">
        <v>24</v>
      </c>
      <c r="C3">
        <v>2</v>
      </c>
      <c r="E3" t="s">
        <v>25</v>
      </c>
      <c r="F3" t="s">
        <v>26</v>
      </c>
      <c r="I3" t="s">
        <v>27</v>
      </c>
      <c r="J3" t="s">
        <v>28</v>
      </c>
      <c r="K3">
        <v>0.1</v>
      </c>
      <c r="L3">
        <v>10</v>
      </c>
      <c r="M3">
        <v>3</v>
      </c>
      <c r="O3" t="s">
        <v>27</v>
      </c>
      <c r="P3" t="s">
        <v>28</v>
      </c>
      <c r="Q3">
        <v>1</v>
      </c>
      <c r="R3">
        <v>5</v>
      </c>
      <c r="S3">
        <v>20</v>
      </c>
      <c r="T3">
        <v>0</v>
      </c>
      <c r="U3" t="s">
        <v>115</v>
      </c>
      <c r="V3">
        <v>0</v>
      </c>
    </row>
    <row r="4" spans="1:23" x14ac:dyDescent="0.25">
      <c r="B4" t="s">
        <v>24</v>
      </c>
      <c r="C4" t="str">
        <f>C3 &amp; " + stop "&amp;V4</f>
        <v>2 + stop -20</v>
      </c>
      <c r="E4" t="s">
        <v>25</v>
      </c>
      <c r="F4" t="s">
        <v>26</v>
      </c>
      <c r="I4" t="s">
        <v>27</v>
      </c>
      <c r="J4" t="s">
        <v>28</v>
      </c>
      <c r="K4">
        <v>0.1</v>
      </c>
      <c r="L4">
        <v>10</v>
      </c>
      <c r="M4">
        <v>3</v>
      </c>
      <c r="O4" t="s">
        <v>27</v>
      </c>
      <c r="P4" t="s">
        <v>28</v>
      </c>
      <c r="Q4">
        <v>1</v>
      </c>
      <c r="R4">
        <v>5</v>
      </c>
      <c r="S4">
        <v>20</v>
      </c>
      <c r="T4">
        <v>0</v>
      </c>
      <c r="U4" t="s">
        <v>115</v>
      </c>
      <c r="V4">
        <v>-20</v>
      </c>
    </row>
    <row r="5" spans="1:23" s="9" customFormat="1" x14ac:dyDescent="0.25">
      <c r="A5" s="9" t="s">
        <v>23</v>
      </c>
      <c r="B5" s="9" t="s">
        <v>24</v>
      </c>
      <c r="C5" s="9" t="s">
        <v>118</v>
      </c>
      <c r="E5" s="9" t="s">
        <v>116</v>
      </c>
      <c r="F5" s="9" t="s">
        <v>26</v>
      </c>
      <c r="I5" s="9" t="s">
        <v>27</v>
      </c>
      <c r="J5" s="9" t="s">
        <v>28</v>
      </c>
      <c r="K5" s="9">
        <v>0.1</v>
      </c>
      <c r="L5" s="9">
        <v>10</v>
      </c>
      <c r="M5" s="9">
        <v>4</v>
      </c>
      <c r="N5" s="10"/>
      <c r="O5" s="9" t="s">
        <v>31</v>
      </c>
      <c r="P5" s="9" t="s">
        <v>30</v>
      </c>
      <c r="Q5" s="9">
        <v>-1</v>
      </c>
      <c r="R5" s="9">
        <v>5</v>
      </c>
      <c r="S5" s="9">
        <v>20</v>
      </c>
      <c r="T5" s="9">
        <v>0</v>
      </c>
      <c r="U5" s="9" t="s">
        <v>125</v>
      </c>
    </row>
    <row r="6" spans="1:23" s="9" customFormat="1" x14ac:dyDescent="0.25">
      <c r="A6" s="9" t="s">
        <v>23</v>
      </c>
      <c r="B6" s="9" t="s">
        <v>24</v>
      </c>
      <c r="C6" s="9" t="s">
        <v>118</v>
      </c>
      <c r="E6" s="9" t="s">
        <v>116</v>
      </c>
      <c r="F6" s="9" t="s">
        <v>26</v>
      </c>
      <c r="I6" s="9" t="s">
        <v>27</v>
      </c>
      <c r="J6" s="9" t="s">
        <v>28</v>
      </c>
      <c r="K6" s="9">
        <v>0.1</v>
      </c>
      <c r="L6" s="9">
        <v>10</v>
      </c>
      <c r="M6" s="9">
        <v>4</v>
      </c>
      <c r="N6" s="10" t="s">
        <v>126</v>
      </c>
      <c r="O6" s="9" t="s">
        <v>31</v>
      </c>
      <c r="P6" s="9" t="s">
        <v>30</v>
      </c>
      <c r="Q6" s="9">
        <v>-1</v>
      </c>
      <c r="R6" s="9">
        <v>5</v>
      </c>
      <c r="S6" s="9">
        <v>20</v>
      </c>
      <c r="T6" s="9">
        <v>0</v>
      </c>
      <c r="U6" s="9" t="s">
        <v>125</v>
      </c>
    </row>
    <row r="7" spans="1:23" s="9" customFormat="1" x14ac:dyDescent="0.25">
      <c r="A7" s="9" t="s">
        <v>23</v>
      </c>
      <c r="B7" s="9" t="s">
        <v>24</v>
      </c>
      <c r="C7" s="9" t="s">
        <v>118</v>
      </c>
      <c r="E7" s="9" t="s">
        <v>116</v>
      </c>
      <c r="F7" s="9" t="s">
        <v>26</v>
      </c>
      <c r="I7" s="9" t="s">
        <v>27</v>
      </c>
      <c r="J7" s="9" t="s">
        <v>28</v>
      </c>
      <c r="K7" s="9">
        <v>0.1</v>
      </c>
      <c r="L7" s="9">
        <v>10</v>
      </c>
      <c r="M7" s="9">
        <v>4</v>
      </c>
      <c r="N7" s="10" t="s">
        <v>127</v>
      </c>
      <c r="O7" s="9" t="s">
        <v>31</v>
      </c>
      <c r="P7" s="9" t="s">
        <v>30</v>
      </c>
      <c r="Q7" s="9">
        <v>-1</v>
      </c>
      <c r="R7" s="9">
        <v>5</v>
      </c>
      <c r="S7" s="9">
        <v>20</v>
      </c>
      <c r="T7" s="9">
        <v>0</v>
      </c>
      <c r="U7" s="9" t="s">
        <v>125</v>
      </c>
    </row>
    <row r="8" spans="1:23" s="9" customFormat="1" x14ac:dyDescent="0.25">
      <c r="B8" s="9" t="s">
        <v>24</v>
      </c>
      <c r="C8" s="9" t="s">
        <v>119</v>
      </c>
      <c r="E8" s="9" t="s">
        <v>116</v>
      </c>
      <c r="F8" s="9" t="s">
        <v>26</v>
      </c>
      <c r="I8" s="9" t="s">
        <v>27</v>
      </c>
      <c r="J8" s="9" t="s">
        <v>28</v>
      </c>
      <c r="K8" s="9">
        <v>0.1</v>
      </c>
      <c r="L8" s="9">
        <v>10</v>
      </c>
      <c r="M8" s="9">
        <v>3</v>
      </c>
      <c r="N8" s="10" t="s">
        <v>117</v>
      </c>
      <c r="O8" s="9" t="s">
        <v>31</v>
      </c>
      <c r="P8" s="9" t="s">
        <v>30</v>
      </c>
      <c r="Q8" s="9">
        <v>-1</v>
      </c>
      <c r="R8" s="9">
        <v>5</v>
      </c>
      <c r="S8" s="9">
        <v>20</v>
      </c>
      <c r="T8" s="9">
        <v>0</v>
      </c>
      <c r="U8" s="9" t="s">
        <v>125</v>
      </c>
    </row>
    <row r="9" spans="1:23" s="9" customFormat="1" x14ac:dyDescent="0.25">
      <c r="B9" s="9" t="s">
        <v>24</v>
      </c>
      <c r="C9" s="9" t="s">
        <v>120</v>
      </c>
      <c r="E9" s="9" t="s">
        <v>116</v>
      </c>
      <c r="F9" s="9" t="s">
        <v>26</v>
      </c>
      <c r="I9" s="9" t="s">
        <v>27</v>
      </c>
      <c r="J9" s="9" t="s">
        <v>28</v>
      </c>
      <c r="K9" s="9">
        <v>0.1</v>
      </c>
      <c r="L9" s="9">
        <v>10</v>
      </c>
      <c r="M9" s="9">
        <v>3</v>
      </c>
      <c r="N9" s="10"/>
      <c r="O9" s="9" t="s">
        <v>31</v>
      </c>
      <c r="P9" s="9" t="s">
        <v>30</v>
      </c>
      <c r="Q9" s="9">
        <v>1</v>
      </c>
      <c r="R9" s="9">
        <v>5</v>
      </c>
      <c r="S9" s="9">
        <v>20</v>
      </c>
      <c r="T9" s="9">
        <v>0</v>
      </c>
      <c r="U9" s="9" t="s">
        <v>125</v>
      </c>
    </row>
    <row r="10" spans="1:23" s="9" customFormat="1" x14ac:dyDescent="0.25">
      <c r="B10" s="9" t="s">
        <v>24</v>
      </c>
      <c r="C10" s="9" t="s">
        <v>121</v>
      </c>
      <c r="E10" s="9" t="s">
        <v>116</v>
      </c>
      <c r="F10" s="9" t="s">
        <v>26</v>
      </c>
      <c r="I10" s="9" t="s">
        <v>27</v>
      </c>
      <c r="J10" s="9" t="s">
        <v>28</v>
      </c>
      <c r="K10" s="9">
        <v>0.1</v>
      </c>
      <c r="L10" s="9">
        <v>10</v>
      </c>
      <c r="M10" s="9">
        <v>3</v>
      </c>
      <c r="N10" s="10" t="s">
        <v>117</v>
      </c>
      <c r="O10" s="9" t="s">
        <v>31</v>
      </c>
      <c r="P10" s="9" t="s">
        <v>30</v>
      </c>
      <c r="Q10" s="9">
        <v>1</v>
      </c>
      <c r="R10" s="9">
        <v>5</v>
      </c>
      <c r="S10" s="9">
        <v>20</v>
      </c>
      <c r="T10" s="9">
        <v>0</v>
      </c>
      <c r="U10" s="9" t="s">
        <v>125</v>
      </c>
    </row>
    <row r="11" spans="1:23" s="9" customFormat="1" x14ac:dyDescent="0.25">
      <c r="N11" s="10"/>
    </row>
    <row r="12" spans="1:23" s="11" customFormat="1" x14ac:dyDescent="0.25">
      <c r="A12" s="11" t="s">
        <v>23</v>
      </c>
      <c r="B12" s="11" t="s">
        <v>24</v>
      </c>
      <c r="C12" s="11">
        <v>10</v>
      </c>
      <c r="E12" s="11" t="s">
        <v>32</v>
      </c>
      <c r="F12" s="11" t="s">
        <v>26</v>
      </c>
      <c r="I12" s="11" t="s">
        <v>27</v>
      </c>
      <c r="J12" s="11" t="s">
        <v>28</v>
      </c>
      <c r="K12" s="11">
        <v>0.1</v>
      </c>
      <c r="L12" s="11">
        <v>5</v>
      </c>
      <c r="M12" s="11">
        <v>3</v>
      </c>
      <c r="O12" s="11" t="s">
        <v>29</v>
      </c>
      <c r="P12" s="11" t="s">
        <v>30</v>
      </c>
      <c r="Q12" s="11">
        <v>1</v>
      </c>
      <c r="R12" s="11">
        <v>5</v>
      </c>
      <c r="S12" s="11">
        <v>20</v>
      </c>
      <c r="T12" s="11">
        <v>0</v>
      </c>
      <c r="U12" s="11" t="s">
        <v>125</v>
      </c>
      <c r="V12" s="11">
        <v>0</v>
      </c>
    </row>
    <row r="13" spans="1:23" s="11" customFormat="1" x14ac:dyDescent="0.25">
      <c r="B13" s="11" t="s">
        <v>24</v>
      </c>
      <c r="C13" s="11" t="s">
        <v>123</v>
      </c>
      <c r="E13" s="11" t="s">
        <v>122</v>
      </c>
      <c r="F13" s="11" t="s">
        <v>26</v>
      </c>
      <c r="I13" s="11" t="s">
        <v>27</v>
      </c>
      <c r="J13" s="11" t="s">
        <v>28</v>
      </c>
      <c r="K13" s="11">
        <v>0.1</v>
      </c>
      <c r="L13" s="11">
        <v>3</v>
      </c>
      <c r="M13" s="11">
        <v>3</v>
      </c>
      <c r="N13" s="12"/>
      <c r="O13" s="11" t="s">
        <v>31</v>
      </c>
      <c r="P13" s="11" t="s">
        <v>30</v>
      </c>
      <c r="Q13" s="11">
        <v>-1</v>
      </c>
      <c r="R13" s="11">
        <v>5</v>
      </c>
      <c r="S13" s="11">
        <v>20</v>
      </c>
      <c r="T13" s="11">
        <v>0</v>
      </c>
      <c r="U13" s="11" t="s">
        <v>125</v>
      </c>
    </row>
    <row r="14" spans="1:23" s="11" customFormat="1" x14ac:dyDescent="0.25">
      <c r="B14" s="11" t="s">
        <v>24</v>
      </c>
      <c r="C14" s="11" t="s">
        <v>124</v>
      </c>
      <c r="E14" s="11" t="s">
        <v>122</v>
      </c>
      <c r="F14" s="11" t="s">
        <v>26</v>
      </c>
      <c r="I14" s="11" t="s">
        <v>27</v>
      </c>
      <c r="J14" s="11" t="s">
        <v>28</v>
      </c>
      <c r="K14" s="11">
        <v>0.1</v>
      </c>
      <c r="L14" s="11">
        <v>3</v>
      </c>
      <c r="M14" s="11">
        <v>3</v>
      </c>
      <c r="N14" s="12"/>
      <c r="O14" s="11" t="s">
        <v>31</v>
      </c>
      <c r="P14" s="11" t="s">
        <v>30</v>
      </c>
      <c r="Q14" s="11">
        <v>1</v>
      </c>
      <c r="R14" s="11">
        <v>5</v>
      </c>
      <c r="S14" s="11">
        <v>20</v>
      </c>
      <c r="T14" s="11">
        <v>0</v>
      </c>
      <c r="U14" s="11" t="s">
        <v>125</v>
      </c>
    </row>
    <row r="15" spans="1:23" s="11" customFormat="1" x14ac:dyDescent="0.25">
      <c r="N15" s="12"/>
    </row>
    <row r="16" spans="1:23" x14ac:dyDescent="0.25">
      <c r="B16" t="s">
        <v>24</v>
      </c>
      <c r="E16" t="s">
        <v>32</v>
      </c>
      <c r="F16" t="s">
        <v>26</v>
      </c>
      <c r="I16" t="s">
        <v>27</v>
      </c>
      <c r="J16" t="s">
        <v>28</v>
      </c>
      <c r="K16">
        <v>0.1</v>
      </c>
      <c r="L16">
        <v>5</v>
      </c>
      <c r="M16">
        <v>3</v>
      </c>
      <c r="O16" t="s">
        <v>29</v>
      </c>
      <c r="P16" t="s">
        <v>30</v>
      </c>
      <c r="Q16">
        <v>1</v>
      </c>
      <c r="R16">
        <v>5</v>
      </c>
      <c r="S16">
        <v>20</v>
      </c>
      <c r="T16">
        <v>0</v>
      </c>
      <c r="U16" t="s">
        <v>115</v>
      </c>
      <c r="V16">
        <v>-5</v>
      </c>
    </row>
    <row r="17" spans="2:23" x14ac:dyDescent="0.25">
      <c r="B17" t="s">
        <v>24</v>
      </c>
      <c r="E17" t="s">
        <v>32</v>
      </c>
      <c r="F17" t="s">
        <v>26</v>
      </c>
      <c r="I17" t="s">
        <v>27</v>
      </c>
      <c r="J17" t="s">
        <v>28</v>
      </c>
      <c r="K17">
        <v>0.1</v>
      </c>
      <c r="L17">
        <v>5</v>
      </c>
      <c r="M17">
        <v>3</v>
      </c>
      <c r="O17" t="s">
        <v>31</v>
      </c>
      <c r="P17" t="s">
        <v>30</v>
      </c>
      <c r="Q17">
        <v>1</v>
      </c>
      <c r="R17">
        <v>5</v>
      </c>
      <c r="S17">
        <v>20</v>
      </c>
      <c r="T17">
        <v>0</v>
      </c>
      <c r="U17" t="s">
        <v>115</v>
      </c>
    </row>
    <row r="18" spans="2:23" x14ac:dyDescent="0.25">
      <c r="B18" t="s">
        <v>24</v>
      </c>
      <c r="E18" t="s">
        <v>32</v>
      </c>
      <c r="F18" t="s">
        <v>26</v>
      </c>
      <c r="I18" t="s">
        <v>27</v>
      </c>
      <c r="J18" t="s">
        <v>28</v>
      </c>
      <c r="K18">
        <v>0.1</v>
      </c>
      <c r="L18">
        <v>5</v>
      </c>
      <c r="M18">
        <v>3</v>
      </c>
      <c r="O18" t="s">
        <v>33</v>
      </c>
      <c r="P18" t="s">
        <v>28</v>
      </c>
      <c r="Q18">
        <v>1</v>
      </c>
      <c r="R18">
        <v>5</v>
      </c>
      <c r="S18">
        <v>20</v>
      </c>
      <c r="T18">
        <v>0</v>
      </c>
      <c r="U18" t="s">
        <v>115</v>
      </c>
    </row>
    <row r="19" spans="2:23" x14ac:dyDescent="0.25">
      <c r="B19" t="s">
        <v>24</v>
      </c>
      <c r="E19" t="s">
        <v>34</v>
      </c>
      <c r="F19" t="s">
        <v>26</v>
      </c>
      <c r="I19" t="s">
        <v>27</v>
      </c>
      <c r="J19" t="s">
        <v>28</v>
      </c>
      <c r="K19">
        <v>0.1</v>
      </c>
      <c r="L19">
        <v>3</v>
      </c>
      <c r="M19">
        <v>3</v>
      </c>
      <c r="O19" t="s">
        <v>33</v>
      </c>
      <c r="P19" t="s">
        <v>28</v>
      </c>
      <c r="Q19">
        <v>1</v>
      </c>
      <c r="R19">
        <v>5</v>
      </c>
      <c r="S19">
        <v>20</v>
      </c>
      <c r="T19">
        <v>0</v>
      </c>
      <c r="U19" t="s">
        <v>115</v>
      </c>
    </row>
    <row r="20" spans="2:23" x14ac:dyDescent="0.25">
      <c r="B20" t="s">
        <v>24</v>
      </c>
      <c r="C20" t="s">
        <v>35</v>
      </c>
      <c r="D20" t="s">
        <v>36</v>
      </c>
      <c r="E20" t="s">
        <v>25</v>
      </c>
      <c r="F20" t="s">
        <v>26</v>
      </c>
      <c r="I20" t="s">
        <v>27</v>
      </c>
      <c r="J20" t="s">
        <v>28</v>
      </c>
      <c r="K20">
        <v>0.1</v>
      </c>
      <c r="L20">
        <v>10</v>
      </c>
      <c r="M20">
        <v>3</v>
      </c>
      <c r="O20" t="s">
        <v>31</v>
      </c>
      <c r="P20" t="s">
        <v>30</v>
      </c>
      <c r="Q20">
        <v>1</v>
      </c>
      <c r="R20">
        <v>5</v>
      </c>
      <c r="S20">
        <v>20</v>
      </c>
      <c r="T20">
        <v>0</v>
      </c>
      <c r="U20" t="s">
        <v>115</v>
      </c>
      <c r="W20" t="s">
        <v>37</v>
      </c>
    </row>
    <row r="21" spans="2:23" x14ac:dyDescent="0.25">
      <c r="B21" t="s">
        <v>24</v>
      </c>
      <c r="C21" t="s">
        <v>38</v>
      </c>
      <c r="D21" t="s">
        <v>36</v>
      </c>
      <c r="E21" t="s">
        <v>25</v>
      </c>
      <c r="F21" t="s">
        <v>26</v>
      </c>
      <c r="I21" t="s">
        <v>27</v>
      </c>
      <c r="J21" t="s">
        <v>28</v>
      </c>
      <c r="K21">
        <v>0.1</v>
      </c>
      <c r="L21">
        <v>10</v>
      </c>
      <c r="M21">
        <v>3</v>
      </c>
      <c r="O21" t="s">
        <v>31</v>
      </c>
      <c r="P21" t="s">
        <v>30</v>
      </c>
      <c r="Q21">
        <v>1</v>
      </c>
      <c r="R21">
        <v>5</v>
      </c>
      <c r="S21">
        <v>20</v>
      </c>
      <c r="T21">
        <v>0</v>
      </c>
      <c r="U21" t="s">
        <v>115</v>
      </c>
      <c r="W21" t="s">
        <v>37</v>
      </c>
    </row>
    <row r="22" spans="2:23" x14ac:dyDescent="0.25">
      <c r="B22" t="s">
        <v>24</v>
      </c>
      <c r="C22" t="s">
        <v>39</v>
      </c>
      <c r="D22" t="s">
        <v>36</v>
      </c>
      <c r="E22" t="s">
        <v>25</v>
      </c>
      <c r="F22" t="s">
        <v>26</v>
      </c>
      <c r="I22" t="s">
        <v>27</v>
      </c>
      <c r="J22" t="s">
        <v>28</v>
      </c>
      <c r="K22">
        <v>0.1</v>
      </c>
      <c r="L22">
        <v>10</v>
      </c>
      <c r="M22">
        <v>3</v>
      </c>
      <c r="O22" t="s">
        <v>31</v>
      </c>
      <c r="P22" t="s">
        <v>30</v>
      </c>
      <c r="Q22">
        <v>-1</v>
      </c>
      <c r="R22">
        <v>5</v>
      </c>
      <c r="S22">
        <v>20</v>
      </c>
      <c r="T22">
        <v>0</v>
      </c>
      <c r="U22" t="s">
        <v>115</v>
      </c>
      <c r="W22" t="s">
        <v>37</v>
      </c>
    </row>
    <row r="23" spans="2:23" x14ac:dyDescent="0.25">
      <c r="B23" t="s">
        <v>24</v>
      </c>
      <c r="C23" t="s">
        <v>40</v>
      </c>
      <c r="D23" t="s">
        <v>41</v>
      </c>
      <c r="E23" t="s">
        <v>25</v>
      </c>
      <c r="F23" t="s">
        <v>42</v>
      </c>
      <c r="I23" t="s">
        <v>27</v>
      </c>
      <c r="J23" t="s">
        <v>28</v>
      </c>
      <c r="K23">
        <v>0.1</v>
      </c>
      <c r="L23">
        <v>10</v>
      </c>
      <c r="M23">
        <v>4</v>
      </c>
      <c r="O23" t="s">
        <v>29</v>
      </c>
      <c r="P23" t="s">
        <v>30</v>
      </c>
      <c r="Q23">
        <v>-1</v>
      </c>
      <c r="R23">
        <v>5</v>
      </c>
      <c r="S23">
        <v>20</v>
      </c>
      <c r="T23">
        <v>0</v>
      </c>
      <c r="U23" t="s">
        <v>43</v>
      </c>
    </row>
    <row r="24" spans="2:23" x14ac:dyDescent="0.25">
      <c r="B24" t="s">
        <v>24</v>
      </c>
      <c r="C24" t="s">
        <v>44</v>
      </c>
      <c r="D24" t="s">
        <v>41</v>
      </c>
      <c r="E24" t="s">
        <v>25</v>
      </c>
      <c r="F24" t="s">
        <v>42</v>
      </c>
      <c r="I24" t="s">
        <v>27</v>
      </c>
      <c r="J24" t="s">
        <v>28</v>
      </c>
      <c r="K24">
        <v>0.1</v>
      </c>
      <c r="L24">
        <v>10</v>
      </c>
      <c r="M24">
        <v>4</v>
      </c>
      <c r="O24" t="s">
        <v>31</v>
      </c>
      <c r="P24" t="s">
        <v>30</v>
      </c>
      <c r="Q24">
        <v>-1</v>
      </c>
      <c r="R24">
        <v>5</v>
      </c>
      <c r="S24">
        <v>20</v>
      </c>
      <c r="T24">
        <v>0</v>
      </c>
      <c r="U24" t="s">
        <v>43</v>
      </c>
    </row>
    <row r="25" spans="2:23" x14ac:dyDescent="0.25">
      <c r="B25" t="s">
        <v>24</v>
      </c>
      <c r="C25" t="s">
        <v>45</v>
      </c>
      <c r="D25" t="s">
        <v>41</v>
      </c>
      <c r="E25" t="s">
        <v>32</v>
      </c>
      <c r="F25" t="s">
        <v>26</v>
      </c>
      <c r="I25" t="s">
        <v>27</v>
      </c>
      <c r="J25" t="s">
        <v>28</v>
      </c>
      <c r="K25">
        <v>0.1</v>
      </c>
      <c r="L25">
        <v>5</v>
      </c>
      <c r="M25">
        <v>3</v>
      </c>
      <c r="O25" t="s">
        <v>33</v>
      </c>
      <c r="P25" t="s">
        <v>30</v>
      </c>
      <c r="Q25">
        <v>1</v>
      </c>
      <c r="R25">
        <v>5</v>
      </c>
      <c r="S25">
        <v>20</v>
      </c>
      <c r="T25">
        <v>0</v>
      </c>
      <c r="U25" t="s">
        <v>43</v>
      </c>
    </row>
  </sheetData>
  <pageMargins left="0.75" right="0.75" top="1" bottom="1" header="0.5" footer="0.5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/>
  </sheetViews>
  <sheetFormatPr defaultRowHeight="15" x14ac:dyDescent="0.25"/>
  <cols>
    <col min="1" max="1" width="26" customWidth="1"/>
    <col min="2" max="2" width="14" customWidth="1"/>
    <col min="3" max="3" width="90" customWidth="1"/>
  </cols>
  <sheetData>
    <row r="1" spans="1:3" x14ac:dyDescent="0.25">
      <c r="A1" s="7" t="s">
        <v>46</v>
      </c>
      <c r="B1" s="7" t="s">
        <v>47</v>
      </c>
      <c r="C1" s="7" t="s">
        <v>48</v>
      </c>
    </row>
    <row r="2" spans="1:3" ht="30" x14ac:dyDescent="0.25">
      <c r="A2" t="s">
        <v>49</v>
      </c>
      <c r="B2">
        <v>3</v>
      </c>
      <c r="C2" s="8" t="s">
        <v>50</v>
      </c>
    </row>
    <row r="3" spans="1:3" x14ac:dyDescent="0.25">
      <c r="A3" t="s">
        <v>51</v>
      </c>
      <c r="B3">
        <v>315</v>
      </c>
      <c r="C3" s="8" t="s">
        <v>52</v>
      </c>
    </row>
    <row r="4" spans="1:3" x14ac:dyDescent="0.25">
      <c r="A4" t="s">
        <v>53</v>
      </c>
      <c r="B4">
        <v>63</v>
      </c>
      <c r="C4" s="8" t="s">
        <v>54</v>
      </c>
    </row>
    <row r="5" spans="1:3" x14ac:dyDescent="0.25">
      <c r="A5" t="s">
        <v>55</v>
      </c>
      <c r="B5" t="b">
        <v>1</v>
      </c>
      <c r="C5" s="8" t="s">
        <v>56</v>
      </c>
    </row>
    <row r="6" spans="1:3" x14ac:dyDescent="0.25">
      <c r="A6" t="s">
        <v>57</v>
      </c>
      <c r="B6">
        <v>3</v>
      </c>
      <c r="C6" s="8" t="s">
        <v>58</v>
      </c>
    </row>
    <row r="7" spans="1:3" ht="30" x14ac:dyDescent="0.25">
      <c r="A7" t="s">
        <v>59</v>
      </c>
      <c r="B7" t="s">
        <v>60</v>
      </c>
      <c r="C7" s="8" t="s">
        <v>61</v>
      </c>
    </row>
    <row r="8" spans="1:3" ht="30" x14ac:dyDescent="0.25">
      <c r="A8" t="s">
        <v>62</v>
      </c>
      <c r="B8">
        <v>5</v>
      </c>
      <c r="C8" s="8" t="s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workbookViewId="0">
      <selection activeCell="F6" sqref="F6"/>
    </sheetView>
  </sheetViews>
  <sheetFormatPr defaultRowHeight="15" x14ac:dyDescent="0.25"/>
  <cols>
    <col min="1" max="1" width="22" customWidth="1"/>
    <col min="2" max="2" width="6" customWidth="1"/>
    <col min="3" max="3" width="10" customWidth="1"/>
    <col min="4" max="4" width="14" customWidth="1"/>
    <col min="5" max="5" width="20" customWidth="1"/>
    <col min="6" max="6" width="90" customWidth="1"/>
  </cols>
  <sheetData>
    <row r="1" spans="1:6" x14ac:dyDescent="0.25">
      <c r="A1" s="7" t="s">
        <v>64</v>
      </c>
      <c r="B1" s="7" t="s">
        <v>65</v>
      </c>
      <c r="C1" s="7" t="s">
        <v>66</v>
      </c>
      <c r="D1" s="7" t="s">
        <v>67</v>
      </c>
      <c r="E1" s="7" t="s">
        <v>68</v>
      </c>
      <c r="F1" s="7" t="s">
        <v>48</v>
      </c>
    </row>
    <row r="2" spans="1:6" x14ac:dyDescent="0.25">
      <c r="A2" t="s">
        <v>0</v>
      </c>
      <c r="B2" t="s">
        <v>69</v>
      </c>
      <c r="C2" t="s">
        <v>70</v>
      </c>
      <c r="D2" t="s">
        <v>71</v>
      </c>
      <c r="F2" s="8" t="s">
        <v>72</v>
      </c>
    </row>
    <row r="3" spans="1:6" x14ac:dyDescent="0.25">
      <c r="A3" t="s">
        <v>1</v>
      </c>
      <c r="B3" t="s">
        <v>69</v>
      </c>
      <c r="C3" t="s">
        <v>73</v>
      </c>
      <c r="D3" t="s">
        <v>24</v>
      </c>
      <c r="E3" t="s">
        <v>74</v>
      </c>
      <c r="F3" s="8" t="s">
        <v>75</v>
      </c>
    </row>
    <row r="4" spans="1:6" x14ac:dyDescent="0.25">
      <c r="A4" t="s">
        <v>2</v>
      </c>
      <c r="B4" t="s">
        <v>69</v>
      </c>
      <c r="C4" t="s">
        <v>76</v>
      </c>
      <c r="F4" s="8" t="s">
        <v>77</v>
      </c>
    </row>
    <row r="5" spans="1:6" x14ac:dyDescent="0.25">
      <c r="A5" t="s">
        <v>3</v>
      </c>
      <c r="B5" t="s">
        <v>69</v>
      </c>
      <c r="C5" t="s">
        <v>76</v>
      </c>
      <c r="F5" s="8" t="s">
        <v>78</v>
      </c>
    </row>
    <row r="6" spans="1:6" ht="30" x14ac:dyDescent="0.25">
      <c r="A6" t="s">
        <v>4</v>
      </c>
      <c r="B6">
        <v>0</v>
      </c>
      <c r="C6" t="s">
        <v>79</v>
      </c>
      <c r="F6" s="8" t="s">
        <v>80</v>
      </c>
    </row>
    <row r="7" spans="1:6" x14ac:dyDescent="0.25">
      <c r="A7" t="s">
        <v>5</v>
      </c>
      <c r="B7">
        <v>1</v>
      </c>
      <c r="C7" t="s">
        <v>73</v>
      </c>
      <c r="D7" t="s">
        <v>26</v>
      </c>
      <c r="E7" t="s">
        <v>81</v>
      </c>
      <c r="F7" s="8" t="s">
        <v>82</v>
      </c>
    </row>
    <row r="8" spans="1:6" x14ac:dyDescent="0.25">
      <c r="A8" t="s">
        <v>6</v>
      </c>
      <c r="B8">
        <v>1</v>
      </c>
      <c r="C8" t="s">
        <v>83</v>
      </c>
      <c r="F8" s="8" t="s">
        <v>84</v>
      </c>
    </row>
    <row r="9" spans="1:6" x14ac:dyDescent="0.25">
      <c r="A9" t="s">
        <v>7</v>
      </c>
      <c r="B9">
        <v>1</v>
      </c>
      <c r="C9" t="s">
        <v>85</v>
      </c>
      <c r="D9" t="s">
        <v>86</v>
      </c>
      <c r="F9" s="8" t="s">
        <v>87</v>
      </c>
    </row>
    <row r="10" spans="1:6" x14ac:dyDescent="0.25">
      <c r="A10" t="s">
        <v>8</v>
      </c>
      <c r="B10">
        <v>1</v>
      </c>
      <c r="C10" t="s">
        <v>76</v>
      </c>
      <c r="D10" t="s">
        <v>29</v>
      </c>
      <c r="F10" s="8" t="s">
        <v>88</v>
      </c>
    </row>
    <row r="11" spans="1:6" x14ac:dyDescent="0.25">
      <c r="A11" t="s">
        <v>9</v>
      </c>
      <c r="B11">
        <v>1</v>
      </c>
      <c r="C11" t="s">
        <v>89</v>
      </c>
      <c r="D11" t="s">
        <v>90</v>
      </c>
      <c r="F11" s="8" t="s">
        <v>91</v>
      </c>
    </row>
    <row r="12" spans="1:6" ht="30" x14ac:dyDescent="0.25">
      <c r="A12" t="s">
        <v>10</v>
      </c>
      <c r="B12">
        <v>1</v>
      </c>
      <c r="C12" t="s">
        <v>85</v>
      </c>
      <c r="D12" t="s">
        <v>92</v>
      </c>
      <c r="F12" s="8" t="s">
        <v>93</v>
      </c>
    </row>
    <row r="13" spans="1:6" x14ac:dyDescent="0.25">
      <c r="A13" t="s">
        <v>11</v>
      </c>
      <c r="B13">
        <v>1</v>
      </c>
      <c r="C13" t="s">
        <v>83</v>
      </c>
      <c r="D13" t="s">
        <v>94</v>
      </c>
      <c r="F13" s="8" t="s">
        <v>95</v>
      </c>
    </row>
    <row r="14" spans="1:6" ht="30" x14ac:dyDescent="0.25">
      <c r="A14" t="s">
        <v>12</v>
      </c>
      <c r="B14">
        <v>1</v>
      </c>
      <c r="C14" t="s">
        <v>83</v>
      </c>
      <c r="D14" t="s">
        <v>94</v>
      </c>
      <c r="F14" s="8" t="s">
        <v>96</v>
      </c>
    </row>
    <row r="15" spans="1:6" x14ac:dyDescent="0.25">
      <c r="A15" t="s">
        <v>13</v>
      </c>
      <c r="B15">
        <v>2</v>
      </c>
      <c r="C15" t="s">
        <v>79</v>
      </c>
      <c r="F15" s="8" t="s">
        <v>97</v>
      </c>
    </row>
    <row r="16" spans="1:6" x14ac:dyDescent="0.25">
      <c r="A16" t="s">
        <v>14</v>
      </c>
      <c r="B16">
        <v>2</v>
      </c>
      <c r="C16" t="s">
        <v>76</v>
      </c>
      <c r="D16" t="s">
        <v>29</v>
      </c>
      <c r="F16" s="8" t="s">
        <v>98</v>
      </c>
    </row>
    <row r="17" spans="1:6" x14ac:dyDescent="0.25">
      <c r="A17" t="s">
        <v>15</v>
      </c>
      <c r="B17">
        <v>2</v>
      </c>
      <c r="C17" t="s">
        <v>89</v>
      </c>
      <c r="D17" t="s">
        <v>90</v>
      </c>
      <c r="F17" s="8" t="s">
        <v>99</v>
      </c>
    </row>
    <row r="18" spans="1:6" ht="30" x14ac:dyDescent="0.25">
      <c r="A18" t="s">
        <v>16</v>
      </c>
      <c r="B18">
        <v>2</v>
      </c>
      <c r="C18" t="s">
        <v>16</v>
      </c>
      <c r="D18" t="s">
        <v>100</v>
      </c>
      <c r="F18" s="8" t="s">
        <v>101</v>
      </c>
    </row>
    <row r="19" spans="1:6" x14ac:dyDescent="0.25">
      <c r="A19" t="s">
        <v>17</v>
      </c>
      <c r="B19">
        <v>2</v>
      </c>
      <c r="C19" t="s">
        <v>83</v>
      </c>
      <c r="D19" t="s">
        <v>102</v>
      </c>
      <c r="F19" s="8" t="s">
        <v>103</v>
      </c>
    </row>
    <row r="20" spans="1:6" x14ac:dyDescent="0.25">
      <c r="A20" t="s">
        <v>18</v>
      </c>
      <c r="B20">
        <v>3</v>
      </c>
      <c r="C20" t="s">
        <v>83</v>
      </c>
      <c r="D20" t="s">
        <v>104</v>
      </c>
      <c r="E20" t="s">
        <v>105</v>
      </c>
      <c r="F20" s="8" t="s">
        <v>106</v>
      </c>
    </row>
    <row r="21" spans="1:6" x14ac:dyDescent="0.25">
      <c r="A21" t="s">
        <v>19</v>
      </c>
      <c r="B21">
        <v>3</v>
      </c>
      <c r="C21" t="s">
        <v>83</v>
      </c>
      <c r="D21" t="s">
        <v>107</v>
      </c>
      <c r="F21" s="8" t="s">
        <v>108</v>
      </c>
    </row>
    <row r="22" spans="1:6" x14ac:dyDescent="0.25">
      <c r="A22" t="s">
        <v>20</v>
      </c>
      <c r="B22">
        <v>3</v>
      </c>
      <c r="C22" t="s">
        <v>109</v>
      </c>
      <c r="D22" t="s">
        <v>110</v>
      </c>
      <c r="F22" s="8" t="s">
        <v>111</v>
      </c>
    </row>
    <row r="23" spans="1:6" ht="45" x14ac:dyDescent="0.25">
      <c r="A23" t="s">
        <v>21</v>
      </c>
      <c r="B23">
        <v>3</v>
      </c>
      <c r="C23" t="s">
        <v>85</v>
      </c>
      <c r="D23" t="s">
        <v>112</v>
      </c>
      <c r="F23" s="8" t="s">
        <v>113</v>
      </c>
    </row>
    <row r="24" spans="1:6" ht="30" x14ac:dyDescent="0.25">
      <c r="A24" t="s">
        <v>22</v>
      </c>
      <c r="B24">
        <v>4</v>
      </c>
      <c r="C24" t="s">
        <v>76</v>
      </c>
      <c r="F24" s="8" t="s">
        <v>114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Runs</vt:lpstr>
      <vt:lpstr>Settings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Steen Martiny</cp:lastModifiedBy>
  <dcterms:created xsi:type="dcterms:W3CDTF">2026-08-05T14:54:45Z</dcterms:created>
  <dcterms:modified xsi:type="dcterms:W3CDTF">2026-08-06T15:54:14Z</dcterms:modified>
</cp:coreProperties>
</file>