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94EE0F3A-5E7A-4494-BD04-5F3C38CCD076}" xr6:coauthVersionLast="47" xr6:coauthVersionMax="47" xr10:uidLastSave="{00000000-0000-0000-0000-000000000000}"/>
  <bookViews>
    <workbookView xWindow="8760" yWindow="1965" windowWidth="34860" windowHeight="15315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C60" i="1" l="1"/>
  <c r="C59" i="1"/>
  <c r="C58" i="1"/>
  <c r="C57" i="1"/>
  <c r="C56" i="1"/>
  <c r="C55" i="1"/>
  <c r="C4" i="1"/>
  <c r="C6" i="1"/>
  <c r="C2" i="1"/>
  <c r="C40" i="1"/>
  <c r="C39" i="1"/>
  <c r="C50" i="1"/>
  <c r="C38" i="1"/>
  <c r="C37" i="1"/>
  <c r="C36" i="1"/>
  <c r="C41" i="1"/>
  <c r="C35" i="1"/>
  <c r="C54" i="1"/>
  <c r="C53" i="1"/>
  <c r="C52" i="1"/>
  <c r="C51" i="1"/>
  <c r="C49" i="1"/>
  <c r="C48" i="1"/>
  <c r="C47" i="1"/>
  <c r="C46" i="1"/>
  <c r="C45" i="1"/>
  <c r="C44" i="1"/>
  <c r="C43" i="1"/>
  <c r="C42" i="1"/>
  <c r="C34" i="1"/>
  <c r="C33" i="1"/>
  <c r="C32" i="1"/>
  <c r="C31" i="1"/>
  <c r="C30" i="1"/>
  <c r="C29" i="1"/>
  <c r="C28" i="1"/>
  <c r="C27" i="1"/>
  <c r="C26" i="1"/>
  <c r="C25" i="1"/>
  <c r="C7" i="1"/>
  <c r="C5" i="1"/>
  <c r="C3" i="1"/>
  <c r="C24" i="1"/>
</calcChain>
</file>

<file path=xl/sharedStrings.xml><?xml version="1.0" encoding="utf-8"?>
<sst xmlns="http://schemas.openxmlformats.org/spreadsheetml/2006/main" count="630" uniqueCount="150">
  <si>
    <t>D</t>
  </si>
  <si>
    <t>P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</si>
  <si>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</si>
  <si>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</si>
  <si>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</si>
  <si>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</si>
  <si>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</si>
  <si>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</si>
  <si>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</si>
  <si>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</si>
  <si>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</si>
  <si>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</si>
  <si>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</si>
  <si>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</si>
  <si>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</si>
  <si>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</si>
  <si>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</si>
  <si>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</si>
  <si>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stop_loss</t>
  </si>
  <si>
    <t>period</t>
  </si>
  <si>
    <t>no_go_gspc_rsi</t>
  </si>
  <si>
    <t>informational_attributes</t>
  </si>
  <si>
    <t>wf_group</t>
  </si>
  <si>
    <t>x</t>
  </si>
  <si>
    <t>Bedst</t>
  </si>
  <si>
    <t>Stamdata.GICS</t>
  </si>
  <si>
    <t>A</t>
  </si>
  <si>
    <t>beta3m</t>
  </si>
  <si>
    <t>big_wins</t>
  </si>
  <si>
    <t>rank, rsi, vola20d</t>
  </si>
  <si>
    <t>God</t>
  </si>
  <si>
    <t>PdivMA20</t>
  </si>
  <si>
    <t>rank</t>
  </si>
  <si>
    <t>small_wins</t>
  </si>
  <si>
    <t>sh3m</t>
  </si>
  <si>
    <t>Fkgr-beta3m(beta3m 1)</t>
  </si>
  <si>
    <t>Stamdata.Fkgrade</t>
  </si>
  <si>
    <t>Fkgr-median_30d(beta3m 1)</t>
  </si>
  <si>
    <t>median_30d</t>
  </si>
  <si>
    <t>Fkgr-PdivMA20(beta3m 1)</t>
  </si>
  <si>
    <t>Fkgr-per20d(beta3m 1)</t>
  </si>
  <si>
    <t>per20d</t>
  </si>
  <si>
    <t>Fkgr-quot1020(beta3m 1)</t>
  </si>
  <si>
    <t>quot1020</t>
  </si>
  <si>
    <t>Fkgr-quot2050(beta3m 1)</t>
  </si>
  <si>
    <t>quot2050</t>
  </si>
  <si>
    <t>Fkgr-rank(beta3m 1)</t>
  </si>
  <si>
    <t>Fkgr-rsi(beta3m 1)</t>
  </si>
  <si>
    <t>rsi</t>
  </si>
  <si>
    <t>Fkgr-sh3m(beta3m 1)</t>
  </si>
  <si>
    <t>Fkgr-spr100d(beta3m 1)</t>
  </si>
  <si>
    <t>spr100d</t>
  </si>
  <si>
    <t>Fkgr-vola20d(beta3m 1)</t>
  </si>
  <si>
    <t>vola20d</t>
  </si>
  <si>
    <t>GICS-rsi(beta3m 1)</t>
  </si>
  <si>
    <t>GICS-spr100d(beta3m 1)</t>
  </si>
  <si>
    <t>ZONE-quot2050(beta3m 1)</t>
  </si>
  <si>
    <t>Stamdata.ZONE</t>
  </si>
  <si>
    <t>ZONE-sh3m(beta3m 1)</t>
  </si>
  <si>
    <t>ZONE-spr100d(beta3m 1)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</si>
  <si>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</si>
  <si>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</si>
  <si>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</si>
  <si>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</si>
  <si>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</si>
  <si>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</si>
  <si>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</si>
  <si>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</si>
  <si>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</si>
  <si>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</si>
  <si>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</si>
  <si>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</si>
  <si>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Not currently enforced by the code -- every active row's gross list ships in StrategicStocks.xlsx (bare tick and --production alike).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</si>
  <si>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</si>
  <si>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</si>
  <si>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</si>
  <si>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</si>
  <si>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</si>
  <si>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</si>
  <si>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</si>
  <si>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</si>
  <si>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</si>
  <si>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</si>
  <si>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</si>
  <si>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</si>
  <si>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</si>
  <si>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include this row in a development tick (steps 0-4, compare_strategies_&lt;date&gt;.xlsx). Independent of P.</t>
  </si>
  <si>
    <t>x / blank — include this row in a --production run (StrategicStocks, Drive-published). Independent of D — mark both to run in both modes.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</si>
  <si>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</si>
  <si>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</si>
  <si>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</si>
  <si>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</si>
  <si>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</si>
  <si>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choice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</si>
  <si>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</si>
  <si>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</si>
  <si>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</si>
  <si>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</si>
  <si>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</si>
  <si>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</si>
  <si>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</si>
  <si>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</si>
  <si>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</si>
  <si>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</si>
  <si>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</si>
  <si>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</si>
  <si>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</si>
  <si>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</si>
  <si>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Qualifying tickers a group needs to dominate, for a group at/above 2x this many members. Below that size the requirement is HALVED relative to the group's own size (group_size/2, not rounded), not raised -- a small group needs proportionally FEWER qualifiers, not more. See step1_dominance.dom_count_threshold.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</si>
  <si>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</si>
  <si>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</si>
  <si>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</si>
  <si>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</si>
  <si>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</si>
  <si>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</si>
  <si>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</si>
  <si>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</si>
  <si>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</si>
  <si>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</si>
  <si>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</si>
  <si>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</si>
  <si>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</si>
  <si>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</si>
  <si>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</si>
  <si>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</si>
  <si>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</si>
  <si>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</si>
  <si>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Candidate pool (by label, comma-separated) for selection-skill scoring. Blank = every other active row.</t>
  </si>
  <si>
    <t>beta6m</t>
  </si>
  <si>
    <t>3m-3m stadig bedst</t>
  </si>
  <si>
    <t>beta1m</t>
  </si>
  <si>
    <t>beta2m</t>
  </si>
  <si>
    <t>Dur ikke</t>
  </si>
  <si>
    <t>Stamdata.GICS .and. Stamdata.Zone="LON"</t>
  </si>
  <si>
    <t>Longi.rank&lt;1000</t>
  </si>
  <si>
    <t>Næstbedst LON</t>
  </si>
  <si>
    <t>Godt gain, dårlig extension</t>
  </si>
  <si>
    <t>rank, per1d, regr20d, regr50d</t>
  </si>
  <si>
    <t>Longi.per1d&gt;0</t>
  </si>
  <si>
    <t>Longi.regr20d&gt;0</t>
  </si>
  <si>
    <t>Longi.regr50d&gt;0</t>
  </si>
  <si>
    <t>Longi.median_10d&lt;1100</t>
  </si>
  <si>
    <t>Longi.median_10d&lt;1000</t>
  </si>
  <si>
    <t>extension dør</t>
  </si>
  <si>
    <t>rank, regr20d, regr50d, regr100d, regr200d</t>
  </si>
  <si>
    <t>Longi.beta3m&gt;2.5</t>
  </si>
  <si>
    <t>Longi.beta3m&gt;3</t>
  </si>
  <si>
    <t>næstbedst LON, men kun halvt så god som beta-baseret</t>
  </si>
  <si>
    <t>Ingen forbedring ved ændret sample</t>
  </si>
  <si>
    <t>tickers_per_group her ingen betydning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</si>
</sst>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9" borderId="3" applyNumberFormat="0" applyFont="0" applyAlignment="0" applyProtection="0"/>
  </cellStyleXfs>
  <cellXfs count="12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0" borderId="1" xfId="0" applyBorder="1"/>
    <xf numFmtId="0" fontId="0" fillId="0" borderId="3" xfId="1" applyFont="1" applyFill="1"/>
    <xf numFmtId="0" fontId="0" fillId="0" borderId="2" xfId="0" applyBorder="1"/>
  </cellXfs>
  <cellStyles count="2"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0"/>
  <sheetViews>
    <sheetView tabSelected="1" workbookViewId="0">
      <pane ySplit="1" topLeftCell="A29" activePane="bottomLeft" state="frozen"/>
      <selection pane="bottomLeft" activeCell="A60" sqref="A60:XFD60"/>
    </sheetView>
  </sheetViews>
  <sheetFormatPr defaultRowHeight="15" x14ac:dyDescent="0.25"/>
  <cols>
    <col min="1" max="1" width="5" customWidth="1"/>
    <col min="2" max="2" width="4.42578125" customWidth="1"/>
    <col min="3" max="3" width="27.7109375" customWidth="1"/>
    <col min="4" max="13" width="18" customWidth="1"/>
    <col min="14" max="14" width="27.85546875" customWidth="1"/>
    <col min="15" max="23" width="18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5" t="s">
        <v>19</v>
      </c>
      <c r="U1" s="5" t="s">
        <v>20</v>
      </c>
      <c r="V1" s="5" t="s">
        <v>21</v>
      </c>
      <c r="W1" s="6" t="s">
        <v>22</v>
      </c>
    </row>
    <row r="2" spans="1:23" x14ac:dyDescent="0.25">
      <c r="B2" t="s">
        <v>23</v>
      </c>
      <c r="C2" t="str">
        <f>"GICS-"&amp;I2&amp;"("&amp;O2&amp;"), test  "&amp;R2&amp;")"</f>
        <v>GICS-beta3m(beta3m), test  3)</v>
      </c>
      <c r="D2" t="s">
        <v>24</v>
      </c>
      <c r="E2" t="s">
        <v>25</v>
      </c>
      <c r="F2" t="s">
        <v>26</v>
      </c>
      <c r="I2" t="s">
        <v>27</v>
      </c>
      <c r="J2" t="s">
        <v>28</v>
      </c>
      <c r="K2">
        <v>0.1</v>
      </c>
      <c r="L2">
        <v>10</v>
      </c>
      <c r="M2">
        <v>4</v>
      </c>
      <c r="N2" t="s">
        <v>145</v>
      </c>
      <c r="O2" t="s">
        <v>27</v>
      </c>
      <c r="P2" t="s">
        <v>28</v>
      </c>
      <c r="Q2">
        <v>1</v>
      </c>
      <c r="R2">
        <v>3</v>
      </c>
      <c r="S2">
        <v>0</v>
      </c>
      <c r="T2">
        <v>20</v>
      </c>
      <c r="U2">
        <v>0</v>
      </c>
      <c r="V2" t="s">
        <v>144</v>
      </c>
    </row>
    <row r="3" spans="1:23" x14ac:dyDescent="0.25">
      <c r="A3" t="s">
        <v>23</v>
      </c>
      <c r="C3" t="str">
        <f t="shared" ref="C3:C7" si="0">"GICS-"&amp;I3&amp;"("&amp;O3&amp;" "&amp;Q3&amp;" "&amp;R3&amp;")"</f>
        <v>GICS-beta3m(beta3m 1 3)</v>
      </c>
      <c r="D3" t="s">
        <v>24</v>
      </c>
      <c r="E3" t="s">
        <v>25</v>
      </c>
      <c r="F3" t="s">
        <v>26</v>
      </c>
      <c r="I3" t="s">
        <v>27</v>
      </c>
      <c r="J3" t="s">
        <v>28</v>
      </c>
      <c r="K3">
        <v>0.1</v>
      </c>
      <c r="L3">
        <v>10</v>
      </c>
      <c r="M3">
        <v>4</v>
      </c>
      <c r="N3" t="s">
        <v>145</v>
      </c>
      <c r="O3" t="s">
        <v>27</v>
      </c>
      <c r="P3" t="s">
        <v>28</v>
      </c>
      <c r="Q3">
        <v>1</v>
      </c>
      <c r="R3">
        <v>3</v>
      </c>
      <c r="S3">
        <v>0</v>
      </c>
      <c r="T3">
        <v>20</v>
      </c>
      <c r="U3">
        <v>0</v>
      </c>
      <c r="V3" t="s">
        <v>137</v>
      </c>
    </row>
    <row r="4" spans="1:23" x14ac:dyDescent="0.25">
      <c r="C4" t="str">
        <f>"GICS-"&amp;I4&amp;"("&amp;O4&amp;"), test  "&amp;R4&amp;")"</f>
        <v>GICS-rank(beta3m), test  3)</v>
      </c>
      <c r="D4" t="s">
        <v>30</v>
      </c>
      <c r="E4" t="s">
        <v>25</v>
      </c>
      <c r="F4" t="s">
        <v>26</v>
      </c>
      <c r="I4" t="s">
        <v>32</v>
      </c>
      <c r="J4" t="s">
        <v>33</v>
      </c>
      <c r="K4">
        <v>0.1</v>
      </c>
      <c r="L4">
        <v>10</v>
      </c>
      <c r="M4">
        <v>4</v>
      </c>
      <c r="N4" t="s">
        <v>145</v>
      </c>
      <c r="O4" t="s">
        <v>27</v>
      </c>
      <c r="P4" t="s">
        <v>28</v>
      </c>
      <c r="Q4">
        <v>1</v>
      </c>
      <c r="R4">
        <v>3</v>
      </c>
      <c r="S4">
        <v>0</v>
      </c>
      <c r="T4">
        <v>20</v>
      </c>
      <c r="U4">
        <v>0</v>
      </c>
      <c r="V4" t="s">
        <v>144</v>
      </c>
    </row>
    <row r="5" spans="1:23" x14ac:dyDescent="0.25">
      <c r="C5" t="str">
        <f t="shared" si="0"/>
        <v>GICS-rank(beta3m 1 3)</v>
      </c>
      <c r="D5" t="s">
        <v>30</v>
      </c>
      <c r="E5" t="s">
        <v>25</v>
      </c>
      <c r="F5" t="s">
        <v>26</v>
      </c>
      <c r="I5" t="s">
        <v>32</v>
      </c>
      <c r="J5" t="s">
        <v>33</v>
      </c>
      <c r="K5">
        <v>0.1</v>
      </c>
      <c r="L5">
        <v>10</v>
      </c>
      <c r="M5">
        <v>4</v>
      </c>
      <c r="N5" t="s">
        <v>146</v>
      </c>
      <c r="O5" t="s">
        <v>27</v>
      </c>
      <c r="P5" t="s">
        <v>28</v>
      </c>
      <c r="Q5">
        <v>1</v>
      </c>
      <c r="R5">
        <v>3</v>
      </c>
      <c r="S5">
        <v>0</v>
      </c>
      <c r="T5">
        <v>20</v>
      </c>
      <c r="U5">
        <v>0</v>
      </c>
      <c r="V5" s="10" t="s">
        <v>137</v>
      </c>
    </row>
    <row r="6" spans="1:23" x14ac:dyDescent="0.25">
      <c r="C6" t="str">
        <f>"GICS-"&amp;I6&amp;"("&amp;O6&amp;"), test  "&amp;R6&amp;")"</f>
        <v>GICS-PdivMA20(beta3m), test  3)</v>
      </c>
      <c r="D6" t="s">
        <v>30</v>
      </c>
      <c r="E6" t="s">
        <v>25</v>
      </c>
      <c r="F6" t="s">
        <v>26</v>
      </c>
      <c r="I6" t="s">
        <v>31</v>
      </c>
      <c r="J6" t="s">
        <v>28</v>
      </c>
      <c r="K6">
        <v>0.1</v>
      </c>
      <c r="L6">
        <v>10</v>
      </c>
      <c r="M6">
        <v>4</v>
      </c>
      <c r="O6" t="s">
        <v>27</v>
      </c>
      <c r="P6" t="s">
        <v>28</v>
      </c>
      <c r="Q6">
        <v>1</v>
      </c>
      <c r="R6">
        <v>3</v>
      </c>
      <c r="S6">
        <v>0</v>
      </c>
      <c r="T6">
        <v>20</v>
      </c>
      <c r="U6">
        <v>0</v>
      </c>
      <c r="V6" t="s">
        <v>29</v>
      </c>
    </row>
    <row r="7" spans="1:23" x14ac:dyDescent="0.25">
      <c r="C7" t="str">
        <f t="shared" si="0"/>
        <v>GICS-sh3m(beta3m 1 3)</v>
      </c>
      <c r="D7" t="s">
        <v>30</v>
      </c>
      <c r="E7" t="s">
        <v>25</v>
      </c>
      <c r="F7" t="s">
        <v>26</v>
      </c>
      <c r="I7" t="s">
        <v>34</v>
      </c>
      <c r="J7" t="s">
        <v>28</v>
      </c>
      <c r="K7">
        <v>0.1</v>
      </c>
      <c r="L7">
        <v>10</v>
      </c>
      <c r="M7">
        <v>4</v>
      </c>
      <c r="O7" t="s">
        <v>27</v>
      </c>
      <c r="P7" t="s">
        <v>28</v>
      </c>
      <c r="Q7">
        <v>1</v>
      </c>
      <c r="R7">
        <v>3</v>
      </c>
      <c r="S7">
        <v>0</v>
      </c>
      <c r="T7">
        <v>20</v>
      </c>
      <c r="U7">
        <v>0</v>
      </c>
      <c r="V7" t="s">
        <v>29</v>
      </c>
    </row>
    <row r="8" spans="1:23" x14ac:dyDescent="0.25">
      <c r="C8" t="s">
        <v>35</v>
      </c>
      <c r="E8" t="s">
        <v>36</v>
      </c>
      <c r="F8" t="s">
        <v>26</v>
      </c>
      <c r="I8" t="s">
        <v>27</v>
      </c>
      <c r="J8" t="s">
        <v>28</v>
      </c>
      <c r="K8">
        <v>0.1</v>
      </c>
      <c r="L8">
        <v>10</v>
      </c>
      <c r="M8">
        <v>4</v>
      </c>
      <c r="O8" t="s">
        <v>27</v>
      </c>
      <c r="P8" t="s">
        <v>28</v>
      </c>
      <c r="Q8">
        <v>1</v>
      </c>
      <c r="R8">
        <v>3</v>
      </c>
      <c r="S8">
        <v>0</v>
      </c>
      <c r="T8">
        <v>20</v>
      </c>
      <c r="U8">
        <v>0</v>
      </c>
      <c r="V8" t="s">
        <v>29</v>
      </c>
    </row>
    <row r="9" spans="1:23" x14ac:dyDescent="0.25">
      <c r="C9" t="s">
        <v>37</v>
      </c>
      <c r="E9" t="s">
        <v>36</v>
      </c>
      <c r="F9" t="s">
        <v>26</v>
      </c>
      <c r="I9" t="s">
        <v>38</v>
      </c>
      <c r="J9" t="s">
        <v>33</v>
      </c>
      <c r="K9">
        <v>0.1</v>
      </c>
      <c r="L9">
        <v>10</v>
      </c>
      <c r="M9">
        <v>4</v>
      </c>
      <c r="O9" t="s">
        <v>27</v>
      </c>
      <c r="P9" t="s">
        <v>28</v>
      </c>
      <c r="Q9">
        <v>1</v>
      </c>
      <c r="R9">
        <v>3</v>
      </c>
      <c r="S9">
        <v>0</v>
      </c>
      <c r="T9">
        <v>20</v>
      </c>
      <c r="U9">
        <v>0</v>
      </c>
      <c r="V9" t="s">
        <v>29</v>
      </c>
    </row>
    <row r="10" spans="1:23" x14ac:dyDescent="0.25">
      <c r="C10" t="s">
        <v>39</v>
      </c>
      <c r="E10" t="s">
        <v>36</v>
      </c>
      <c r="F10" t="s">
        <v>26</v>
      </c>
      <c r="I10" t="s">
        <v>31</v>
      </c>
      <c r="J10" t="s">
        <v>28</v>
      </c>
      <c r="K10">
        <v>0.1</v>
      </c>
      <c r="L10">
        <v>10</v>
      </c>
      <c r="M10">
        <v>4</v>
      </c>
      <c r="O10" t="s">
        <v>27</v>
      </c>
      <c r="P10" t="s">
        <v>28</v>
      </c>
      <c r="Q10">
        <v>1</v>
      </c>
      <c r="R10">
        <v>3</v>
      </c>
      <c r="S10">
        <v>0</v>
      </c>
      <c r="T10">
        <v>20</v>
      </c>
      <c r="U10">
        <v>0</v>
      </c>
      <c r="V10" t="s">
        <v>29</v>
      </c>
    </row>
    <row r="11" spans="1:23" x14ac:dyDescent="0.25">
      <c r="C11" t="s">
        <v>40</v>
      </c>
      <c r="E11" t="s">
        <v>36</v>
      </c>
      <c r="F11" t="s">
        <v>26</v>
      </c>
      <c r="I11" t="s">
        <v>41</v>
      </c>
      <c r="J11" t="s">
        <v>28</v>
      </c>
      <c r="K11">
        <v>0.1</v>
      </c>
      <c r="L11">
        <v>10</v>
      </c>
      <c r="M11">
        <v>4</v>
      </c>
      <c r="O11" t="s">
        <v>27</v>
      </c>
      <c r="P11" t="s">
        <v>28</v>
      </c>
      <c r="Q11">
        <v>1</v>
      </c>
      <c r="R11">
        <v>3</v>
      </c>
      <c r="S11">
        <v>0</v>
      </c>
      <c r="T11">
        <v>20</v>
      </c>
      <c r="U11">
        <v>0</v>
      </c>
      <c r="V11" t="s">
        <v>29</v>
      </c>
    </row>
    <row r="12" spans="1:23" x14ac:dyDescent="0.25">
      <c r="C12" t="s">
        <v>42</v>
      </c>
      <c r="E12" t="s">
        <v>36</v>
      </c>
      <c r="F12" t="s">
        <v>26</v>
      </c>
      <c r="I12" t="s">
        <v>43</v>
      </c>
      <c r="J12" t="s">
        <v>28</v>
      </c>
      <c r="K12">
        <v>0.1</v>
      </c>
      <c r="L12">
        <v>10</v>
      </c>
      <c r="M12">
        <v>4</v>
      </c>
      <c r="O12" t="s">
        <v>27</v>
      </c>
      <c r="P12" t="s">
        <v>28</v>
      </c>
      <c r="Q12">
        <v>1</v>
      </c>
      <c r="R12">
        <v>3</v>
      </c>
      <c r="S12">
        <v>0</v>
      </c>
      <c r="T12">
        <v>20</v>
      </c>
      <c r="U12">
        <v>0</v>
      </c>
      <c r="V12" t="s">
        <v>29</v>
      </c>
    </row>
    <row r="13" spans="1:23" x14ac:dyDescent="0.25">
      <c r="C13" t="s">
        <v>44</v>
      </c>
      <c r="E13" t="s">
        <v>36</v>
      </c>
      <c r="F13" t="s">
        <v>26</v>
      </c>
      <c r="I13" t="s">
        <v>45</v>
      </c>
      <c r="J13" t="s">
        <v>28</v>
      </c>
      <c r="K13">
        <v>0.1</v>
      </c>
      <c r="L13">
        <v>10</v>
      </c>
      <c r="M13">
        <v>4</v>
      </c>
      <c r="O13" t="s">
        <v>27</v>
      </c>
      <c r="P13" t="s">
        <v>28</v>
      </c>
      <c r="Q13">
        <v>1</v>
      </c>
      <c r="R13">
        <v>3</v>
      </c>
      <c r="S13">
        <v>0</v>
      </c>
      <c r="T13">
        <v>20</v>
      </c>
      <c r="U13">
        <v>0</v>
      </c>
      <c r="V13" t="s">
        <v>29</v>
      </c>
    </row>
    <row r="14" spans="1:23" x14ac:dyDescent="0.25">
      <c r="C14" t="s">
        <v>46</v>
      </c>
      <c r="E14" t="s">
        <v>36</v>
      </c>
      <c r="F14" t="s">
        <v>26</v>
      </c>
      <c r="I14" t="s">
        <v>32</v>
      </c>
      <c r="J14" t="s">
        <v>33</v>
      </c>
      <c r="K14">
        <v>0.1</v>
      </c>
      <c r="L14">
        <v>10</v>
      </c>
      <c r="M14">
        <v>4</v>
      </c>
      <c r="O14" t="s">
        <v>27</v>
      </c>
      <c r="P14" t="s">
        <v>28</v>
      </c>
      <c r="Q14">
        <v>1</v>
      </c>
      <c r="R14">
        <v>3</v>
      </c>
      <c r="S14">
        <v>0</v>
      </c>
      <c r="T14">
        <v>20</v>
      </c>
      <c r="U14">
        <v>0</v>
      </c>
      <c r="V14" t="s">
        <v>29</v>
      </c>
    </row>
    <row r="15" spans="1:23" x14ac:dyDescent="0.25">
      <c r="C15" t="s">
        <v>47</v>
      </c>
      <c r="E15" t="s">
        <v>36</v>
      </c>
      <c r="F15" t="s">
        <v>26</v>
      </c>
      <c r="I15" t="s">
        <v>48</v>
      </c>
      <c r="J15" t="s">
        <v>28</v>
      </c>
      <c r="K15">
        <v>0.1</v>
      </c>
      <c r="L15">
        <v>10</v>
      </c>
      <c r="M15">
        <v>4</v>
      </c>
      <c r="O15" t="s">
        <v>27</v>
      </c>
      <c r="P15" t="s">
        <v>28</v>
      </c>
      <c r="Q15">
        <v>1</v>
      </c>
      <c r="R15">
        <v>3</v>
      </c>
      <c r="S15">
        <v>0</v>
      </c>
      <c r="T15">
        <v>20</v>
      </c>
      <c r="U15">
        <v>0</v>
      </c>
      <c r="V15" t="s">
        <v>29</v>
      </c>
    </row>
    <row r="16" spans="1:23" x14ac:dyDescent="0.25">
      <c r="C16" t="s">
        <v>49</v>
      </c>
      <c r="E16" t="s">
        <v>36</v>
      </c>
      <c r="F16" t="s">
        <v>26</v>
      </c>
      <c r="I16" t="s">
        <v>34</v>
      </c>
      <c r="J16" t="s">
        <v>28</v>
      </c>
      <c r="K16">
        <v>0.1</v>
      </c>
      <c r="L16">
        <v>10</v>
      </c>
      <c r="M16">
        <v>4</v>
      </c>
      <c r="O16" t="s">
        <v>27</v>
      </c>
      <c r="P16" t="s">
        <v>28</v>
      </c>
      <c r="Q16">
        <v>1</v>
      </c>
      <c r="R16">
        <v>3</v>
      </c>
      <c r="S16">
        <v>0</v>
      </c>
      <c r="T16">
        <v>20</v>
      </c>
      <c r="U16">
        <v>0</v>
      </c>
      <c r="V16" t="s">
        <v>29</v>
      </c>
    </row>
    <row r="17" spans="3:22" x14ac:dyDescent="0.25">
      <c r="C17" t="s">
        <v>50</v>
      </c>
      <c r="E17" t="s">
        <v>36</v>
      </c>
      <c r="F17" t="s">
        <v>26</v>
      </c>
      <c r="I17" t="s">
        <v>51</v>
      </c>
      <c r="J17" t="s">
        <v>33</v>
      </c>
      <c r="K17">
        <v>0.1</v>
      </c>
      <c r="L17">
        <v>10</v>
      </c>
      <c r="M17">
        <v>4</v>
      </c>
      <c r="O17" t="s">
        <v>27</v>
      </c>
      <c r="P17" t="s">
        <v>28</v>
      </c>
      <c r="Q17">
        <v>1</v>
      </c>
      <c r="R17">
        <v>3</v>
      </c>
      <c r="S17">
        <v>0</v>
      </c>
      <c r="T17">
        <v>20</v>
      </c>
      <c r="U17">
        <v>0</v>
      </c>
      <c r="V17" t="s">
        <v>29</v>
      </c>
    </row>
    <row r="18" spans="3:22" x14ac:dyDescent="0.25">
      <c r="C18" t="s">
        <v>52</v>
      </c>
      <c r="E18" t="s">
        <v>36</v>
      </c>
      <c r="F18" t="s">
        <v>26</v>
      </c>
      <c r="I18" t="s">
        <v>53</v>
      </c>
      <c r="J18" t="s">
        <v>28</v>
      </c>
      <c r="K18">
        <v>0.1</v>
      </c>
      <c r="L18">
        <v>10</v>
      </c>
      <c r="M18">
        <v>4</v>
      </c>
      <c r="O18" t="s">
        <v>27</v>
      </c>
      <c r="P18" t="s">
        <v>28</v>
      </c>
      <c r="Q18">
        <v>1</v>
      </c>
      <c r="R18">
        <v>3</v>
      </c>
      <c r="S18">
        <v>0</v>
      </c>
      <c r="T18">
        <v>20</v>
      </c>
      <c r="U18">
        <v>0</v>
      </c>
      <c r="V18" t="s">
        <v>29</v>
      </c>
    </row>
    <row r="19" spans="3:22" x14ac:dyDescent="0.25">
      <c r="C19" t="s">
        <v>54</v>
      </c>
      <c r="E19" t="s">
        <v>25</v>
      </c>
      <c r="F19" t="s">
        <v>26</v>
      </c>
      <c r="I19" t="s">
        <v>48</v>
      </c>
      <c r="J19" t="s">
        <v>28</v>
      </c>
      <c r="K19">
        <v>0.1</v>
      </c>
      <c r="L19">
        <v>10</v>
      </c>
      <c r="M19">
        <v>4</v>
      </c>
      <c r="O19" t="s">
        <v>27</v>
      </c>
      <c r="P19" t="s">
        <v>28</v>
      </c>
      <c r="Q19">
        <v>1</v>
      </c>
      <c r="R19">
        <v>3</v>
      </c>
      <c r="S19">
        <v>0</v>
      </c>
      <c r="T19">
        <v>20</v>
      </c>
      <c r="U19">
        <v>0</v>
      </c>
      <c r="V19" t="s">
        <v>29</v>
      </c>
    </row>
    <row r="20" spans="3:22" x14ac:dyDescent="0.25">
      <c r="C20" t="s">
        <v>55</v>
      </c>
      <c r="E20" t="s">
        <v>25</v>
      </c>
      <c r="F20" t="s">
        <v>26</v>
      </c>
      <c r="I20" t="s">
        <v>51</v>
      </c>
      <c r="J20" t="s">
        <v>33</v>
      </c>
      <c r="K20">
        <v>0.1</v>
      </c>
      <c r="L20">
        <v>10</v>
      </c>
      <c r="M20">
        <v>4</v>
      </c>
      <c r="O20" t="s">
        <v>27</v>
      </c>
      <c r="P20" t="s">
        <v>28</v>
      </c>
      <c r="Q20">
        <v>1</v>
      </c>
      <c r="R20">
        <v>3</v>
      </c>
      <c r="S20">
        <v>0</v>
      </c>
      <c r="T20">
        <v>20</v>
      </c>
      <c r="U20">
        <v>0</v>
      </c>
      <c r="V20" t="s">
        <v>29</v>
      </c>
    </row>
    <row r="21" spans="3:22" x14ac:dyDescent="0.25">
      <c r="C21" t="s">
        <v>56</v>
      </c>
      <c r="E21" t="s">
        <v>57</v>
      </c>
      <c r="F21" t="s">
        <v>26</v>
      </c>
      <c r="I21" t="s">
        <v>45</v>
      </c>
      <c r="J21" t="s">
        <v>28</v>
      </c>
      <c r="K21">
        <v>0.1</v>
      </c>
      <c r="L21">
        <v>10</v>
      </c>
      <c r="M21">
        <v>4</v>
      </c>
      <c r="O21" t="s">
        <v>27</v>
      </c>
      <c r="P21" t="s">
        <v>28</v>
      </c>
      <c r="Q21">
        <v>1</v>
      </c>
      <c r="R21">
        <v>3</v>
      </c>
      <c r="S21">
        <v>0</v>
      </c>
      <c r="T21">
        <v>20</v>
      </c>
      <c r="U21">
        <v>0</v>
      </c>
      <c r="V21" t="s">
        <v>29</v>
      </c>
    </row>
    <row r="22" spans="3:22" x14ac:dyDescent="0.25">
      <c r="C22" t="s">
        <v>58</v>
      </c>
      <c r="E22" t="s">
        <v>57</v>
      </c>
      <c r="F22" t="s">
        <v>26</v>
      </c>
      <c r="I22" t="s">
        <v>34</v>
      </c>
      <c r="J22" t="s">
        <v>28</v>
      </c>
      <c r="K22">
        <v>0.1</v>
      </c>
      <c r="L22">
        <v>10</v>
      </c>
      <c r="M22">
        <v>4</v>
      </c>
      <c r="O22" t="s">
        <v>27</v>
      </c>
      <c r="P22" t="s">
        <v>28</v>
      </c>
      <c r="Q22">
        <v>1</v>
      </c>
      <c r="R22">
        <v>3</v>
      </c>
      <c r="S22">
        <v>0</v>
      </c>
      <c r="T22">
        <v>20</v>
      </c>
      <c r="U22">
        <v>0</v>
      </c>
      <c r="V22" t="s">
        <v>29</v>
      </c>
    </row>
    <row r="23" spans="3:22" x14ac:dyDescent="0.25">
      <c r="C23" t="s">
        <v>59</v>
      </c>
      <c r="E23" t="s">
        <v>57</v>
      </c>
      <c r="F23" t="s">
        <v>26</v>
      </c>
      <c r="I23" t="s">
        <v>51</v>
      </c>
      <c r="J23" t="s">
        <v>33</v>
      </c>
      <c r="K23">
        <v>0.1</v>
      </c>
      <c r="L23">
        <v>10</v>
      </c>
      <c r="M23">
        <v>4</v>
      </c>
      <c r="O23" t="s">
        <v>27</v>
      </c>
      <c r="P23" t="s">
        <v>28</v>
      </c>
      <c r="Q23">
        <v>1</v>
      </c>
      <c r="R23">
        <v>3</v>
      </c>
      <c r="S23">
        <v>0</v>
      </c>
      <c r="T23">
        <v>20</v>
      </c>
      <c r="U23">
        <v>0</v>
      </c>
      <c r="V23" t="s">
        <v>29</v>
      </c>
    </row>
    <row r="24" spans="3:22" x14ac:dyDescent="0.25">
      <c r="C24" t="str">
        <f>"GICS-"&amp;I24&amp;"("&amp;O24&amp;" "&amp;Q24&amp;" "&amp;R24&amp;")"</f>
        <v>GICS-beta6m(beta6m 1 3)</v>
      </c>
      <c r="D24" t="s">
        <v>129</v>
      </c>
      <c r="E24" t="s">
        <v>25</v>
      </c>
      <c r="F24" t="s">
        <v>26</v>
      </c>
      <c r="I24" t="s">
        <v>128</v>
      </c>
      <c r="J24" t="s">
        <v>28</v>
      </c>
      <c r="K24">
        <v>0.1</v>
      </c>
      <c r="L24">
        <v>10</v>
      </c>
      <c r="M24">
        <v>4</v>
      </c>
      <c r="O24" t="s">
        <v>128</v>
      </c>
      <c r="P24" t="s">
        <v>28</v>
      </c>
      <c r="Q24">
        <v>1</v>
      </c>
      <c r="R24">
        <v>3</v>
      </c>
      <c r="S24">
        <v>0</v>
      </c>
      <c r="T24">
        <v>20</v>
      </c>
      <c r="U24">
        <v>0</v>
      </c>
      <c r="V24" t="s">
        <v>29</v>
      </c>
    </row>
    <row r="25" spans="3:22" x14ac:dyDescent="0.25">
      <c r="C25" t="str">
        <f>"GICS-"&amp;I25&amp;"("&amp;O25&amp;" "&amp;Q25&amp;" "&amp;R25&amp;")"</f>
        <v>GICS-beta3m(beta6m 1 3)</v>
      </c>
      <c r="D25" t="s">
        <v>129</v>
      </c>
      <c r="E25" t="s">
        <v>25</v>
      </c>
      <c r="F25" t="s">
        <v>26</v>
      </c>
      <c r="I25" t="s">
        <v>27</v>
      </c>
      <c r="J25" t="s">
        <v>28</v>
      </c>
      <c r="K25">
        <v>0.1</v>
      </c>
      <c r="L25">
        <v>10</v>
      </c>
      <c r="M25">
        <v>4</v>
      </c>
      <c r="O25" t="s">
        <v>128</v>
      </c>
      <c r="P25" t="s">
        <v>28</v>
      </c>
      <c r="Q25">
        <v>1</v>
      </c>
      <c r="R25">
        <v>3</v>
      </c>
      <c r="S25">
        <v>0</v>
      </c>
      <c r="T25">
        <v>20</v>
      </c>
      <c r="U25">
        <v>0</v>
      </c>
      <c r="V25" t="s">
        <v>29</v>
      </c>
    </row>
    <row r="26" spans="3:22" x14ac:dyDescent="0.25">
      <c r="C26" t="str">
        <f>"GICS-"&amp;I26&amp;"("&amp;O26&amp;" "&amp;Q26&amp;" "&amp;R26&amp;")"</f>
        <v>GICS-beta6m(beta3m 1 3)</v>
      </c>
      <c r="D26" t="s">
        <v>129</v>
      </c>
      <c r="E26" t="s">
        <v>25</v>
      </c>
      <c r="F26" t="s">
        <v>26</v>
      </c>
      <c r="I26" t="s">
        <v>128</v>
      </c>
      <c r="J26" t="s">
        <v>28</v>
      </c>
      <c r="K26">
        <v>0.1</v>
      </c>
      <c r="L26">
        <v>10</v>
      </c>
      <c r="M26">
        <v>4</v>
      </c>
      <c r="O26" t="s">
        <v>27</v>
      </c>
      <c r="P26" t="s">
        <v>28</v>
      </c>
      <c r="Q26">
        <v>1</v>
      </c>
      <c r="R26">
        <v>3</v>
      </c>
      <c r="S26">
        <v>0</v>
      </c>
      <c r="T26">
        <v>20</v>
      </c>
      <c r="U26">
        <v>0</v>
      </c>
      <c r="V26" t="s">
        <v>29</v>
      </c>
    </row>
    <row r="27" spans="3:22" x14ac:dyDescent="0.25">
      <c r="C27" t="str">
        <f t="shared" ref="C27:C28" si="1">"GICS-"&amp;I27&amp;"("&amp;O27&amp;" "&amp;Q27&amp;" "&amp;R27&amp;")"</f>
        <v>GICS-beta1m(beta1m 1 3)</v>
      </c>
      <c r="D27" t="s">
        <v>132</v>
      </c>
      <c r="E27" t="s">
        <v>25</v>
      </c>
      <c r="F27" t="s">
        <v>26</v>
      </c>
      <c r="I27" t="s">
        <v>130</v>
      </c>
      <c r="J27" t="s">
        <v>28</v>
      </c>
      <c r="K27">
        <v>0.1</v>
      </c>
      <c r="L27">
        <v>10</v>
      </c>
      <c r="M27">
        <v>4</v>
      </c>
      <c r="O27" t="s">
        <v>130</v>
      </c>
      <c r="P27" t="s">
        <v>28</v>
      </c>
      <c r="Q27">
        <v>1</v>
      </c>
      <c r="R27">
        <v>3</v>
      </c>
      <c r="S27">
        <v>0</v>
      </c>
      <c r="T27">
        <v>20</v>
      </c>
      <c r="U27">
        <v>0</v>
      </c>
      <c r="V27" t="s">
        <v>29</v>
      </c>
    </row>
    <row r="28" spans="3:22" x14ac:dyDescent="0.25">
      <c r="C28" t="str">
        <f t="shared" si="1"/>
        <v>GICS-beta2m(beta2m 1 3)</v>
      </c>
      <c r="D28" t="s">
        <v>132</v>
      </c>
      <c r="E28" t="s">
        <v>25</v>
      </c>
      <c r="F28" t="s">
        <v>26</v>
      </c>
      <c r="I28" t="s">
        <v>131</v>
      </c>
      <c r="J28" t="s">
        <v>28</v>
      </c>
      <c r="K28">
        <v>0.1</v>
      </c>
      <c r="L28">
        <v>10</v>
      </c>
      <c r="M28">
        <v>4</v>
      </c>
      <c r="O28" t="s">
        <v>131</v>
      </c>
      <c r="P28" t="s">
        <v>28</v>
      </c>
      <c r="Q28">
        <v>1</v>
      </c>
      <c r="R28">
        <v>3</v>
      </c>
      <c r="S28">
        <v>0</v>
      </c>
      <c r="T28">
        <v>20</v>
      </c>
      <c r="U28">
        <v>0</v>
      </c>
      <c r="V28" t="s">
        <v>29</v>
      </c>
    </row>
    <row r="29" spans="3:22" x14ac:dyDescent="0.25">
      <c r="C29" t="str">
        <f>"GICS-LON " &amp;I29&amp;"("&amp;O29&amp;" "&amp;Q29&amp;" "&amp;R29&amp;")"</f>
        <v>GICS-LON beta3m(beta3m 1 3)</v>
      </c>
      <c r="E29" t="s">
        <v>133</v>
      </c>
      <c r="F29" t="s">
        <v>26</v>
      </c>
      <c r="I29" t="s">
        <v>27</v>
      </c>
      <c r="J29" t="s">
        <v>28</v>
      </c>
      <c r="K29">
        <v>0.1</v>
      </c>
      <c r="L29">
        <v>5</v>
      </c>
      <c r="M29">
        <v>4</v>
      </c>
      <c r="N29" t="s">
        <v>134</v>
      </c>
      <c r="O29" t="s">
        <v>27</v>
      </c>
      <c r="P29" t="s">
        <v>28</v>
      </c>
      <c r="Q29">
        <v>1</v>
      </c>
      <c r="R29">
        <v>3</v>
      </c>
      <c r="S29">
        <v>0</v>
      </c>
      <c r="T29">
        <v>20</v>
      </c>
      <c r="U29">
        <v>0</v>
      </c>
      <c r="V29" t="s">
        <v>29</v>
      </c>
    </row>
    <row r="30" spans="3:22" x14ac:dyDescent="0.25">
      <c r="C30" t="str">
        <f t="shared" ref="C30:C34" si="2">"GICS-LON " &amp;I30&amp;"("&amp;O30&amp;" "&amp;Q30&amp;" "&amp;R30&amp;")"</f>
        <v>GICS-LON PdivMA20(beta3m 1 3)</v>
      </c>
      <c r="D30" t="s">
        <v>135</v>
      </c>
      <c r="E30" t="s">
        <v>133</v>
      </c>
      <c r="F30" t="s">
        <v>26</v>
      </c>
      <c r="I30" t="s">
        <v>31</v>
      </c>
      <c r="J30" t="s">
        <v>28</v>
      </c>
      <c r="K30">
        <v>0.1</v>
      </c>
      <c r="L30">
        <v>5</v>
      </c>
      <c r="M30">
        <v>4</v>
      </c>
      <c r="N30" t="s">
        <v>134</v>
      </c>
      <c r="O30" t="s">
        <v>27</v>
      </c>
      <c r="P30" t="s">
        <v>28</v>
      </c>
      <c r="Q30">
        <v>1</v>
      </c>
      <c r="R30">
        <v>3</v>
      </c>
      <c r="S30">
        <v>0</v>
      </c>
      <c r="T30">
        <v>20</v>
      </c>
      <c r="U30">
        <v>0</v>
      </c>
      <c r="V30" t="s">
        <v>29</v>
      </c>
    </row>
    <row r="31" spans="3:22" x14ac:dyDescent="0.25">
      <c r="C31" t="str">
        <f t="shared" si="2"/>
        <v>GICS-LON rank(beta3m 1 3)</v>
      </c>
      <c r="D31" t="s">
        <v>143</v>
      </c>
      <c r="E31" t="s">
        <v>133</v>
      </c>
      <c r="F31" t="s">
        <v>26</v>
      </c>
      <c r="I31" t="s">
        <v>32</v>
      </c>
      <c r="J31" t="s">
        <v>33</v>
      </c>
      <c r="K31">
        <v>0.1</v>
      </c>
      <c r="L31">
        <v>5</v>
      </c>
      <c r="M31">
        <v>4</v>
      </c>
      <c r="N31" t="s">
        <v>134</v>
      </c>
      <c r="O31" t="s">
        <v>27</v>
      </c>
      <c r="P31" t="s">
        <v>28</v>
      </c>
      <c r="Q31">
        <v>1</v>
      </c>
      <c r="R31">
        <v>3</v>
      </c>
      <c r="S31">
        <v>0</v>
      </c>
      <c r="T31">
        <v>20</v>
      </c>
      <c r="U31">
        <v>0</v>
      </c>
      <c r="V31" t="s">
        <v>137</v>
      </c>
    </row>
    <row r="32" spans="3:22" x14ac:dyDescent="0.25">
      <c r="C32" t="str">
        <f t="shared" si="2"/>
        <v>GICS-LON sh3m(beta3m 1 3)</v>
      </c>
      <c r="E32" t="s">
        <v>133</v>
      </c>
      <c r="F32" t="s">
        <v>26</v>
      </c>
      <c r="I32" t="s">
        <v>34</v>
      </c>
      <c r="J32" t="s">
        <v>28</v>
      </c>
      <c r="K32">
        <v>0.1</v>
      </c>
      <c r="L32">
        <v>5</v>
      </c>
      <c r="M32">
        <v>4</v>
      </c>
      <c r="N32" t="s">
        <v>134</v>
      </c>
      <c r="O32" t="s">
        <v>27</v>
      </c>
      <c r="P32" t="s">
        <v>28</v>
      </c>
      <c r="Q32">
        <v>1</v>
      </c>
      <c r="R32">
        <v>3</v>
      </c>
      <c r="S32">
        <v>0</v>
      </c>
      <c r="T32">
        <v>20</v>
      </c>
      <c r="U32">
        <v>0</v>
      </c>
      <c r="V32" t="s">
        <v>29</v>
      </c>
    </row>
    <row r="33" spans="3:22" x14ac:dyDescent="0.25">
      <c r="C33" t="str">
        <f t="shared" si="2"/>
        <v>GICS-LON rsi(beta3m 1 3)</v>
      </c>
      <c r="E33" t="s">
        <v>133</v>
      </c>
      <c r="F33" t="s">
        <v>26</v>
      </c>
      <c r="I33" t="s">
        <v>48</v>
      </c>
      <c r="J33" t="s">
        <v>28</v>
      </c>
      <c r="K33">
        <v>0.1</v>
      </c>
      <c r="L33">
        <v>5</v>
      </c>
      <c r="M33">
        <v>4</v>
      </c>
      <c r="N33" t="s">
        <v>134</v>
      </c>
      <c r="O33" t="s">
        <v>27</v>
      </c>
      <c r="P33" t="s">
        <v>28</v>
      </c>
      <c r="Q33">
        <v>1</v>
      </c>
      <c r="R33">
        <v>3</v>
      </c>
      <c r="S33">
        <v>0</v>
      </c>
      <c r="T33">
        <v>20</v>
      </c>
      <c r="U33">
        <v>0</v>
      </c>
      <c r="V33" t="s">
        <v>29</v>
      </c>
    </row>
    <row r="34" spans="3:22" x14ac:dyDescent="0.25">
      <c r="C34" t="str">
        <f t="shared" si="2"/>
        <v>GICS-LON spr100d(beta3m 1 3)</v>
      </c>
      <c r="E34" t="s">
        <v>133</v>
      </c>
      <c r="F34" t="s">
        <v>26</v>
      </c>
      <c r="I34" t="s">
        <v>51</v>
      </c>
      <c r="J34" t="s">
        <v>33</v>
      </c>
      <c r="K34">
        <v>0.1</v>
      </c>
      <c r="L34">
        <v>5</v>
      </c>
      <c r="M34">
        <v>4</v>
      </c>
      <c r="N34" t="s">
        <v>134</v>
      </c>
      <c r="O34" t="s">
        <v>27</v>
      </c>
      <c r="P34" t="s">
        <v>28</v>
      </c>
      <c r="Q34">
        <v>1</v>
      </c>
      <c r="R34">
        <v>3</v>
      </c>
      <c r="S34">
        <v>0</v>
      </c>
      <c r="T34">
        <v>20</v>
      </c>
      <c r="U34">
        <v>0</v>
      </c>
      <c r="V34" t="s">
        <v>29</v>
      </c>
    </row>
    <row r="35" spans="3:22" x14ac:dyDescent="0.25">
      <c r="C35" t="str">
        <f t="shared" ref="C35" si="3">"GICS-LON " &amp;I35&amp;"("&amp;O35&amp;" "&amp;Q35&amp;" "&amp;R35&amp;")"</f>
        <v>GICS-LON rank(beta3m 1 3)</v>
      </c>
      <c r="E35" t="s">
        <v>133</v>
      </c>
      <c r="F35" t="s">
        <v>26</v>
      </c>
      <c r="I35" t="s">
        <v>32</v>
      </c>
      <c r="J35" t="s">
        <v>33</v>
      </c>
      <c r="K35">
        <v>0.1</v>
      </c>
      <c r="L35">
        <v>5</v>
      </c>
      <c r="M35">
        <v>4</v>
      </c>
      <c r="O35" t="s">
        <v>27</v>
      </c>
      <c r="P35" t="s">
        <v>28</v>
      </c>
      <c r="Q35">
        <v>1</v>
      </c>
      <c r="R35">
        <v>3</v>
      </c>
      <c r="S35">
        <v>0</v>
      </c>
      <c r="T35">
        <v>20</v>
      </c>
      <c r="U35">
        <v>0</v>
      </c>
      <c r="V35" t="s">
        <v>137</v>
      </c>
    </row>
    <row r="36" spans="3:22" x14ac:dyDescent="0.25">
      <c r="C36" t="str">
        <f t="shared" ref="C36" si="4">"GICS-LON " &amp;I36&amp;"("&amp;O36&amp;" "&amp;Q36&amp;" "&amp;R36&amp;")"</f>
        <v>GICS-LON rank(beta3m 1 3)</v>
      </c>
      <c r="D36" t="s">
        <v>143</v>
      </c>
      <c r="E36" t="s">
        <v>133</v>
      </c>
      <c r="F36" t="s">
        <v>26</v>
      </c>
      <c r="I36" t="s">
        <v>32</v>
      </c>
      <c r="J36" t="s">
        <v>33</v>
      </c>
      <c r="K36">
        <v>0.1</v>
      </c>
      <c r="L36">
        <v>5</v>
      </c>
      <c r="M36">
        <v>4</v>
      </c>
      <c r="N36" t="s">
        <v>138</v>
      </c>
      <c r="O36" t="s">
        <v>27</v>
      </c>
      <c r="P36" t="s">
        <v>28</v>
      </c>
      <c r="Q36">
        <v>1</v>
      </c>
      <c r="R36">
        <v>3</v>
      </c>
      <c r="S36">
        <v>0</v>
      </c>
      <c r="T36">
        <v>20</v>
      </c>
      <c r="U36">
        <v>0</v>
      </c>
      <c r="V36" t="s">
        <v>137</v>
      </c>
    </row>
    <row r="37" spans="3:22" x14ac:dyDescent="0.25">
      <c r="C37" t="str">
        <f t="shared" ref="C37" si="5">"GICS-LON " &amp;I37&amp;"("&amp;O37&amp;" "&amp;Q37&amp;" "&amp;R37&amp;")"</f>
        <v>GICS-LON rank(beta3m 1 3)</v>
      </c>
      <c r="E37" t="s">
        <v>133</v>
      </c>
      <c r="F37" t="s">
        <v>26</v>
      </c>
      <c r="I37" t="s">
        <v>32</v>
      </c>
      <c r="J37" t="s">
        <v>33</v>
      </c>
      <c r="K37">
        <v>0.1</v>
      </c>
      <c r="L37">
        <v>5</v>
      </c>
      <c r="M37">
        <v>4</v>
      </c>
      <c r="N37" t="s">
        <v>139</v>
      </c>
      <c r="O37" t="s">
        <v>27</v>
      </c>
      <c r="P37" t="s">
        <v>28</v>
      </c>
      <c r="Q37">
        <v>1</v>
      </c>
      <c r="R37">
        <v>3</v>
      </c>
      <c r="S37">
        <v>0</v>
      </c>
      <c r="T37">
        <v>20</v>
      </c>
      <c r="U37">
        <v>0</v>
      </c>
      <c r="V37" t="s">
        <v>137</v>
      </c>
    </row>
    <row r="38" spans="3:22" x14ac:dyDescent="0.25">
      <c r="C38" t="str">
        <f t="shared" ref="C38" si="6">"GICS-LON " &amp;I38&amp;"("&amp;O38&amp;" "&amp;Q38&amp;" "&amp;R38&amp;")"</f>
        <v>GICS-LON rank(beta3m 1 3)</v>
      </c>
      <c r="E38" t="s">
        <v>133</v>
      </c>
      <c r="F38" t="s">
        <v>26</v>
      </c>
      <c r="I38" t="s">
        <v>32</v>
      </c>
      <c r="J38" t="s">
        <v>33</v>
      </c>
      <c r="K38">
        <v>0.1</v>
      </c>
      <c r="L38">
        <v>5</v>
      </c>
      <c r="M38">
        <v>4</v>
      </c>
      <c r="N38" t="s">
        <v>140</v>
      </c>
      <c r="O38" t="s">
        <v>27</v>
      </c>
      <c r="P38" t="s">
        <v>28</v>
      </c>
      <c r="Q38">
        <v>1</v>
      </c>
      <c r="R38">
        <v>3</v>
      </c>
      <c r="S38">
        <v>0</v>
      </c>
      <c r="T38">
        <v>20</v>
      </c>
      <c r="U38">
        <v>0</v>
      </c>
      <c r="V38" t="s">
        <v>137</v>
      </c>
    </row>
    <row r="39" spans="3:22" x14ac:dyDescent="0.25">
      <c r="C39" t="str">
        <f t="shared" ref="C39" si="7">"GICS-LON " &amp;I39&amp;"("&amp;O39&amp;" "&amp;Q39&amp;" "&amp;R39&amp;")"</f>
        <v>GICS-LON rank(beta3m 1 3)</v>
      </c>
      <c r="D39" t="s">
        <v>143</v>
      </c>
      <c r="E39" t="s">
        <v>133</v>
      </c>
      <c r="F39" t="s">
        <v>26</v>
      </c>
      <c r="I39" t="s">
        <v>32</v>
      </c>
      <c r="J39" t="s">
        <v>33</v>
      </c>
      <c r="K39">
        <v>0.1</v>
      </c>
      <c r="L39">
        <v>5</v>
      </c>
      <c r="M39">
        <v>4</v>
      </c>
      <c r="N39" t="s">
        <v>141</v>
      </c>
      <c r="O39" t="s">
        <v>27</v>
      </c>
      <c r="P39" t="s">
        <v>28</v>
      </c>
      <c r="Q39">
        <v>1</v>
      </c>
      <c r="R39">
        <v>3</v>
      </c>
      <c r="S39">
        <v>0</v>
      </c>
      <c r="T39">
        <v>20</v>
      </c>
      <c r="U39">
        <v>0</v>
      </c>
      <c r="V39" t="s">
        <v>137</v>
      </c>
    </row>
    <row r="40" spans="3:22" x14ac:dyDescent="0.25">
      <c r="C40" t="str">
        <f t="shared" ref="C40" si="8">"GICS-LON " &amp;I40&amp;"("&amp;O40&amp;" "&amp;Q40&amp;" "&amp;R40&amp;")"</f>
        <v>GICS-LON rank(beta3m 1 3)</v>
      </c>
      <c r="D40" t="s">
        <v>143</v>
      </c>
      <c r="E40" t="s">
        <v>133</v>
      </c>
      <c r="F40" t="s">
        <v>26</v>
      </c>
      <c r="I40" t="s">
        <v>32</v>
      </c>
      <c r="J40" t="s">
        <v>33</v>
      </c>
      <c r="K40">
        <v>0.1</v>
      </c>
      <c r="L40">
        <v>5</v>
      </c>
      <c r="M40">
        <v>4</v>
      </c>
      <c r="N40" t="s">
        <v>142</v>
      </c>
      <c r="O40" t="s">
        <v>27</v>
      </c>
      <c r="P40" t="s">
        <v>28</v>
      </c>
      <c r="Q40">
        <v>1</v>
      </c>
      <c r="R40">
        <v>3</v>
      </c>
      <c r="S40">
        <v>0</v>
      </c>
      <c r="T40">
        <v>20</v>
      </c>
      <c r="U40">
        <v>0</v>
      </c>
      <c r="V40" t="s">
        <v>137</v>
      </c>
    </row>
    <row r="41" spans="3:22" x14ac:dyDescent="0.25">
      <c r="C41" t="str">
        <f t="shared" ref="C41" si="9">"GICS-LON " &amp;I41&amp;"("&amp;O41&amp;" "&amp;Q41&amp;" "&amp;R41&amp;")"</f>
        <v>GICS-LON PdivMA20(beta3m 1 3)</v>
      </c>
      <c r="E41" t="s">
        <v>133</v>
      </c>
      <c r="F41" t="s">
        <v>26</v>
      </c>
      <c r="I41" t="s">
        <v>31</v>
      </c>
      <c r="J41" t="s">
        <v>28</v>
      </c>
      <c r="K41">
        <v>0.1</v>
      </c>
      <c r="L41">
        <v>5</v>
      </c>
      <c r="M41">
        <v>4</v>
      </c>
      <c r="O41" t="s">
        <v>27</v>
      </c>
      <c r="P41" t="s">
        <v>28</v>
      </c>
      <c r="Q41">
        <v>1</v>
      </c>
      <c r="R41">
        <v>3</v>
      </c>
      <c r="S41">
        <v>0</v>
      </c>
      <c r="T41">
        <v>20</v>
      </c>
      <c r="U41">
        <v>0</v>
      </c>
      <c r="V41" t="s">
        <v>29</v>
      </c>
    </row>
    <row r="42" spans="3:22" s="11" customFormat="1" x14ac:dyDescent="0.25">
      <c r="C42" s="11" t="str">
        <f t="shared" ref="C42:C43" si="10">"GICS-LON " &amp;I42&amp;"("&amp;O42&amp;" "&amp;Q42&amp;" "&amp;R42&amp;")"</f>
        <v>GICS-LON rank(beta3m 1 3)</v>
      </c>
      <c r="D42" s="11" t="s">
        <v>147</v>
      </c>
      <c r="E42" s="11" t="s">
        <v>133</v>
      </c>
      <c r="F42" s="11" t="s">
        <v>26</v>
      </c>
      <c r="I42" s="11" t="s">
        <v>32</v>
      </c>
      <c r="J42" s="11" t="s">
        <v>33</v>
      </c>
      <c r="K42" s="11">
        <v>0.1</v>
      </c>
      <c r="L42" s="11">
        <v>5</v>
      </c>
      <c r="M42" s="11">
        <v>4</v>
      </c>
      <c r="O42" s="11" t="s">
        <v>27</v>
      </c>
      <c r="P42" s="11" t="s">
        <v>28</v>
      </c>
      <c r="Q42" s="11">
        <v>1</v>
      </c>
      <c r="R42" s="11">
        <v>3</v>
      </c>
      <c r="S42" s="11">
        <v>0</v>
      </c>
      <c r="T42" s="11">
        <v>20</v>
      </c>
      <c r="U42" s="11">
        <v>0</v>
      </c>
      <c r="V42" s="11" t="s">
        <v>137</v>
      </c>
    </row>
    <row r="43" spans="3:22" x14ac:dyDescent="0.25">
      <c r="C43" t="str">
        <f t="shared" si="10"/>
        <v>GICS-LON rank(PdivMA20 1 3)</v>
      </c>
      <c r="D43" t="s">
        <v>132</v>
      </c>
      <c r="E43" t="s">
        <v>133</v>
      </c>
      <c r="F43" t="s">
        <v>26</v>
      </c>
      <c r="I43" t="s">
        <v>32</v>
      </c>
      <c r="J43" t="s">
        <v>33</v>
      </c>
      <c r="K43">
        <v>0.1</v>
      </c>
      <c r="L43">
        <v>5</v>
      </c>
      <c r="M43">
        <v>4</v>
      </c>
      <c r="N43" t="s">
        <v>134</v>
      </c>
      <c r="O43" t="s">
        <v>31</v>
      </c>
      <c r="P43" t="s">
        <v>28</v>
      </c>
      <c r="Q43">
        <v>1</v>
      </c>
      <c r="R43">
        <v>3</v>
      </c>
      <c r="S43">
        <v>0</v>
      </c>
      <c r="T43">
        <v>20</v>
      </c>
      <c r="U43">
        <v>0</v>
      </c>
      <c r="V43" t="s">
        <v>29</v>
      </c>
    </row>
    <row r="44" spans="3:22" x14ac:dyDescent="0.25">
      <c r="C44" t="str">
        <f t="shared" ref="C44:C47" si="11">"GICS-LON " &amp;I44&amp;"("&amp;O44&amp;" "&amp;Q44&amp;" "&amp;R44&amp;")"</f>
        <v>GICS-LON rank(PdivMA20 1 3)</v>
      </c>
      <c r="D44" t="s">
        <v>132</v>
      </c>
      <c r="E44" t="s">
        <v>133</v>
      </c>
      <c r="F44" t="s">
        <v>26</v>
      </c>
      <c r="I44" t="s">
        <v>32</v>
      </c>
      <c r="J44" t="s">
        <v>33</v>
      </c>
      <c r="K44">
        <v>0.1</v>
      </c>
      <c r="L44">
        <v>5</v>
      </c>
      <c r="M44">
        <v>4</v>
      </c>
      <c r="O44" t="s">
        <v>31</v>
      </c>
      <c r="P44" t="s">
        <v>28</v>
      </c>
      <c r="Q44">
        <v>1</v>
      </c>
      <c r="R44">
        <v>3</v>
      </c>
      <c r="S44">
        <v>0</v>
      </c>
      <c r="T44">
        <v>20</v>
      </c>
      <c r="U44">
        <v>0</v>
      </c>
      <c r="V44" t="s">
        <v>29</v>
      </c>
    </row>
    <row r="45" spans="3:22" x14ac:dyDescent="0.25">
      <c r="C45" t="str">
        <f t="shared" si="11"/>
        <v>GICS-LON rank(beta3m 1 3)</v>
      </c>
      <c r="D45" t="s">
        <v>132</v>
      </c>
      <c r="E45" t="s">
        <v>133</v>
      </c>
      <c r="F45" t="s">
        <v>26</v>
      </c>
      <c r="I45" t="s">
        <v>32</v>
      </c>
      <c r="J45" t="s">
        <v>33</v>
      </c>
      <c r="K45">
        <v>0.2</v>
      </c>
      <c r="L45">
        <v>5</v>
      </c>
      <c r="M45">
        <v>4</v>
      </c>
      <c r="N45" t="s">
        <v>134</v>
      </c>
      <c r="O45" t="s">
        <v>27</v>
      </c>
      <c r="P45" t="s">
        <v>28</v>
      </c>
      <c r="Q45">
        <v>1</v>
      </c>
      <c r="R45">
        <v>3</v>
      </c>
      <c r="S45">
        <v>0</v>
      </c>
      <c r="T45">
        <v>20</v>
      </c>
      <c r="U45">
        <v>0</v>
      </c>
      <c r="V45" t="s">
        <v>29</v>
      </c>
    </row>
    <row r="46" spans="3:22" x14ac:dyDescent="0.25">
      <c r="C46" t="str">
        <f t="shared" si="11"/>
        <v>GICS-LON rank(beta3m 1 3)</v>
      </c>
      <c r="D46" t="s">
        <v>132</v>
      </c>
      <c r="E46" t="s">
        <v>133</v>
      </c>
      <c r="F46" t="s">
        <v>26</v>
      </c>
      <c r="I46" t="s">
        <v>32</v>
      </c>
      <c r="J46" t="s">
        <v>33</v>
      </c>
      <c r="K46">
        <v>0.2</v>
      </c>
      <c r="L46">
        <v>5</v>
      </c>
      <c r="M46">
        <v>4</v>
      </c>
      <c r="O46" t="s">
        <v>27</v>
      </c>
      <c r="P46" t="s">
        <v>28</v>
      </c>
      <c r="Q46">
        <v>1</v>
      </c>
      <c r="R46">
        <v>3</v>
      </c>
      <c r="S46">
        <v>0</v>
      </c>
      <c r="T46">
        <v>20</v>
      </c>
      <c r="U46">
        <v>0</v>
      </c>
      <c r="V46" t="s">
        <v>29</v>
      </c>
    </row>
    <row r="47" spans="3:22" x14ac:dyDescent="0.25">
      <c r="C47" t="str">
        <f t="shared" si="11"/>
        <v>GICS-LON rank(PdivMA20 1 3)</v>
      </c>
      <c r="D47" t="s">
        <v>132</v>
      </c>
      <c r="E47" t="s">
        <v>133</v>
      </c>
      <c r="F47" t="s">
        <v>26</v>
      </c>
      <c r="I47" t="s">
        <v>32</v>
      </c>
      <c r="J47" t="s">
        <v>33</v>
      </c>
      <c r="K47">
        <v>0.1</v>
      </c>
      <c r="L47">
        <v>3</v>
      </c>
      <c r="M47">
        <v>4</v>
      </c>
      <c r="N47" t="s">
        <v>134</v>
      </c>
      <c r="O47" t="s">
        <v>31</v>
      </c>
      <c r="P47" t="s">
        <v>28</v>
      </c>
      <c r="Q47">
        <v>1</v>
      </c>
      <c r="R47">
        <v>3</v>
      </c>
      <c r="S47">
        <v>0</v>
      </c>
      <c r="T47">
        <v>20</v>
      </c>
      <c r="U47">
        <v>0</v>
      </c>
      <c r="V47" t="s">
        <v>29</v>
      </c>
    </row>
    <row r="48" spans="3:22" x14ac:dyDescent="0.25">
      <c r="C48" t="str">
        <f t="shared" ref="C48:C50" si="12">"GICS-LON " &amp;I48&amp;"("&amp;O48&amp;" "&amp;Q48&amp;" "&amp;R48&amp;")"</f>
        <v>GICS-LON rank(PdivMA20 1 3)</v>
      </c>
      <c r="D48" t="s">
        <v>132</v>
      </c>
      <c r="E48" t="s">
        <v>133</v>
      </c>
      <c r="F48" t="s">
        <v>26</v>
      </c>
      <c r="I48" t="s">
        <v>32</v>
      </c>
      <c r="J48" t="s">
        <v>33</v>
      </c>
      <c r="K48">
        <v>0.1</v>
      </c>
      <c r="L48">
        <v>3</v>
      </c>
      <c r="M48">
        <v>4</v>
      </c>
      <c r="O48" t="s">
        <v>31</v>
      </c>
      <c r="P48" t="s">
        <v>28</v>
      </c>
      <c r="Q48">
        <v>1</v>
      </c>
      <c r="R48">
        <v>3</v>
      </c>
      <c r="S48">
        <v>0</v>
      </c>
      <c r="T48">
        <v>20</v>
      </c>
      <c r="U48">
        <v>0</v>
      </c>
      <c r="V48" t="s">
        <v>29</v>
      </c>
    </row>
    <row r="49" spans="3:22" x14ac:dyDescent="0.25">
      <c r="C49" t="str">
        <f t="shared" si="12"/>
        <v>GICS-LON rank(beta3m 1 3)</v>
      </c>
      <c r="D49" t="s">
        <v>132</v>
      </c>
      <c r="E49" t="s">
        <v>133</v>
      </c>
      <c r="F49" t="s">
        <v>26</v>
      </c>
      <c r="I49" t="s">
        <v>32</v>
      </c>
      <c r="J49" t="s">
        <v>33</v>
      </c>
      <c r="K49">
        <v>0.1</v>
      </c>
      <c r="L49">
        <v>3</v>
      </c>
      <c r="M49">
        <v>4</v>
      </c>
      <c r="N49" t="s">
        <v>134</v>
      </c>
      <c r="O49" t="s">
        <v>27</v>
      </c>
      <c r="P49" t="s">
        <v>28</v>
      </c>
      <c r="Q49">
        <v>1</v>
      </c>
      <c r="R49">
        <v>3</v>
      </c>
      <c r="S49">
        <v>0</v>
      </c>
      <c r="T49">
        <v>20</v>
      </c>
      <c r="U49">
        <v>0</v>
      </c>
      <c r="V49" t="s">
        <v>29</v>
      </c>
    </row>
    <row r="50" spans="3:22" x14ac:dyDescent="0.25">
      <c r="C50" t="str">
        <f t="shared" si="12"/>
        <v>GICS-LON rank(beta3m 1 3)</v>
      </c>
      <c r="D50" t="s">
        <v>132</v>
      </c>
      <c r="E50" t="s">
        <v>133</v>
      </c>
      <c r="F50" t="s">
        <v>26</v>
      </c>
      <c r="I50" t="s">
        <v>32</v>
      </c>
      <c r="J50" t="s">
        <v>33</v>
      </c>
      <c r="K50">
        <v>0.1</v>
      </c>
      <c r="L50">
        <v>3</v>
      </c>
      <c r="M50">
        <v>4</v>
      </c>
      <c r="O50" t="s">
        <v>27</v>
      </c>
      <c r="P50" t="s">
        <v>28</v>
      </c>
      <c r="Q50">
        <v>1</v>
      </c>
      <c r="R50">
        <v>3</v>
      </c>
      <c r="S50">
        <v>0</v>
      </c>
      <c r="T50">
        <v>20</v>
      </c>
      <c r="U50">
        <v>0</v>
      </c>
      <c r="V50" t="s">
        <v>29</v>
      </c>
    </row>
    <row r="51" spans="3:22" x14ac:dyDescent="0.25">
      <c r="C51" t="str">
        <f t="shared" ref="C51" si="13">"GICS-"&amp;I51&amp;"("&amp;O51&amp;" "&amp;Q51&amp;" "&amp;R51&amp;")"</f>
        <v>GICS-rank(rsi 1 3)</v>
      </c>
      <c r="D51" t="s">
        <v>132</v>
      </c>
      <c r="E51" t="s">
        <v>25</v>
      </c>
      <c r="F51" t="s">
        <v>26</v>
      </c>
      <c r="I51" t="s">
        <v>32</v>
      </c>
      <c r="J51" t="s">
        <v>33</v>
      </c>
      <c r="K51">
        <v>0.1</v>
      </c>
      <c r="L51">
        <v>10</v>
      </c>
      <c r="M51">
        <v>4</v>
      </c>
      <c r="O51" t="s">
        <v>48</v>
      </c>
      <c r="P51" t="s">
        <v>28</v>
      </c>
      <c r="Q51">
        <v>1</v>
      </c>
      <c r="R51">
        <v>3</v>
      </c>
      <c r="S51">
        <v>0</v>
      </c>
      <c r="T51">
        <v>20</v>
      </c>
      <c r="U51">
        <v>0</v>
      </c>
      <c r="V51" t="s">
        <v>137</v>
      </c>
    </row>
    <row r="52" spans="3:22" x14ac:dyDescent="0.25">
      <c r="C52" t="str">
        <f t="shared" ref="C52:C53" si="14">"GICS-"&amp;I52&amp;"("&amp;O52&amp;" "&amp;Q52&amp;" "&amp;R52&amp;")"</f>
        <v>GICS-rank(rank 1 3)</v>
      </c>
      <c r="D52" t="s">
        <v>136</v>
      </c>
      <c r="E52" t="s">
        <v>25</v>
      </c>
      <c r="F52" t="s">
        <v>26</v>
      </c>
      <c r="I52" t="s">
        <v>32</v>
      </c>
      <c r="J52" t="s">
        <v>33</v>
      </c>
      <c r="K52">
        <v>0.1</v>
      </c>
      <c r="L52">
        <v>10</v>
      </c>
      <c r="M52">
        <v>4</v>
      </c>
      <c r="O52" t="s">
        <v>32</v>
      </c>
      <c r="P52" t="s">
        <v>33</v>
      </c>
      <c r="Q52">
        <v>1</v>
      </c>
      <c r="R52">
        <v>3</v>
      </c>
      <c r="S52">
        <v>0</v>
      </c>
      <c r="T52">
        <v>20</v>
      </c>
      <c r="U52">
        <v>0</v>
      </c>
      <c r="V52" t="s">
        <v>137</v>
      </c>
    </row>
    <row r="53" spans="3:22" x14ac:dyDescent="0.25">
      <c r="C53" t="str">
        <f t="shared" si="14"/>
        <v>GICS-rank(rsi -1 3)</v>
      </c>
      <c r="D53" t="s">
        <v>132</v>
      </c>
      <c r="E53" t="s">
        <v>25</v>
      </c>
      <c r="F53" t="s">
        <v>26</v>
      </c>
      <c r="I53" t="s">
        <v>32</v>
      </c>
      <c r="J53" t="s">
        <v>33</v>
      </c>
      <c r="K53">
        <v>0.1</v>
      </c>
      <c r="L53">
        <v>10</v>
      </c>
      <c r="M53">
        <v>4</v>
      </c>
      <c r="O53" t="s">
        <v>48</v>
      </c>
      <c r="P53" t="s">
        <v>28</v>
      </c>
      <c r="Q53">
        <v>-1</v>
      </c>
      <c r="R53">
        <v>3</v>
      </c>
      <c r="S53">
        <v>0</v>
      </c>
      <c r="T53">
        <v>20</v>
      </c>
      <c r="U53">
        <v>0</v>
      </c>
      <c r="V53" t="s">
        <v>137</v>
      </c>
    </row>
    <row r="54" spans="3:22" s="9" customFormat="1" x14ac:dyDescent="0.25">
      <c r="C54" s="9" t="str">
        <f t="shared" ref="C54:C60" si="15">"GICS-"&amp;I54&amp;"("&amp;O54&amp;" "&amp;Q54&amp;" "&amp;R54&amp;")"</f>
        <v>GICS-rank(rank -1 3)</v>
      </c>
      <c r="D54" s="9" t="s">
        <v>136</v>
      </c>
      <c r="E54" s="9" t="s">
        <v>25</v>
      </c>
      <c r="F54" s="9" t="s">
        <v>26</v>
      </c>
      <c r="I54" s="9" t="s">
        <v>32</v>
      </c>
      <c r="J54" s="9" t="s">
        <v>33</v>
      </c>
      <c r="K54" s="9">
        <v>0.1</v>
      </c>
      <c r="L54" s="9">
        <v>10</v>
      </c>
      <c r="M54" s="9">
        <v>4</v>
      </c>
      <c r="O54" s="9" t="s">
        <v>32</v>
      </c>
      <c r="P54" s="9" t="s">
        <v>33</v>
      </c>
      <c r="Q54" s="9">
        <v>-1</v>
      </c>
      <c r="R54" s="9">
        <v>3</v>
      </c>
      <c r="S54" s="9">
        <v>0</v>
      </c>
      <c r="T54" s="9">
        <v>20</v>
      </c>
      <c r="U54" s="9">
        <v>0</v>
      </c>
      <c r="V54" t="s">
        <v>137</v>
      </c>
    </row>
    <row r="55" spans="3:22" x14ac:dyDescent="0.25">
      <c r="C55" t="str">
        <f t="shared" si="15"/>
        <v>GICS-beta3m(beta3m 1 1)</v>
      </c>
      <c r="D55" t="s">
        <v>148</v>
      </c>
      <c r="E55" t="s">
        <v>25</v>
      </c>
      <c r="F55" t="s">
        <v>26</v>
      </c>
      <c r="I55" t="s">
        <v>27</v>
      </c>
      <c r="J55" t="s">
        <v>28</v>
      </c>
      <c r="K55">
        <v>0.1</v>
      </c>
      <c r="L55">
        <v>10</v>
      </c>
      <c r="M55">
        <v>4</v>
      </c>
      <c r="N55" t="s">
        <v>145</v>
      </c>
      <c r="O55" t="s">
        <v>27</v>
      </c>
      <c r="P55" t="s">
        <v>28</v>
      </c>
      <c r="Q55">
        <v>1</v>
      </c>
      <c r="R55">
        <v>1</v>
      </c>
      <c r="S55">
        <v>0</v>
      </c>
      <c r="T55">
        <v>20</v>
      </c>
      <c r="U55">
        <v>0</v>
      </c>
      <c r="V55" t="s">
        <v>137</v>
      </c>
    </row>
    <row r="56" spans="3:22" x14ac:dyDescent="0.25">
      <c r="C56" t="str">
        <f t="shared" si="15"/>
        <v>GICS-beta3m(beta3m 1 5)</v>
      </c>
      <c r="D56" t="s">
        <v>148</v>
      </c>
      <c r="E56" t="s">
        <v>25</v>
      </c>
      <c r="F56" t="s">
        <v>26</v>
      </c>
      <c r="I56" t="s">
        <v>27</v>
      </c>
      <c r="J56" t="s">
        <v>28</v>
      </c>
      <c r="K56">
        <v>0.1</v>
      </c>
      <c r="L56">
        <v>10</v>
      </c>
      <c r="M56">
        <v>4</v>
      </c>
      <c r="N56" t="s">
        <v>145</v>
      </c>
      <c r="O56" t="s">
        <v>27</v>
      </c>
      <c r="P56" t="s">
        <v>28</v>
      </c>
      <c r="Q56">
        <v>1</v>
      </c>
      <c r="R56">
        <v>5</v>
      </c>
      <c r="S56">
        <v>0</v>
      </c>
      <c r="T56">
        <v>20</v>
      </c>
      <c r="U56">
        <v>0</v>
      </c>
      <c r="V56" t="s">
        <v>137</v>
      </c>
    </row>
    <row r="57" spans="3:22" s="9" customFormat="1" x14ac:dyDescent="0.25">
      <c r="C57" s="9" t="str">
        <f t="shared" si="15"/>
        <v>GICS-beta3m(beta3m 1 10)</v>
      </c>
      <c r="D57" s="9" t="s">
        <v>148</v>
      </c>
      <c r="E57" s="9" t="s">
        <v>25</v>
      </c>
      <c r="F57" s="9" t="s">
        <v>26</v>
      </c>
      <c r="I57" s="9" t="s">
        <v>27</v>
      </c>
      <c r="J57" s="9" t="s">
        <v>28</v>
      </c>
      <c r="K57" s="9">
        <v>0.1</v>
      </c>
      <c r="L57" s="9">
        <v>10</v>
      </c>
      <c r="M57" s="9">
        <v>4</v>
      </c>
      <c r="N57" s="9" t="s">
        <v>145</v>
      </c>
      <c r="O57" s="9" t="s">
        <v>27</v>
      </c>
      <c r="P57" s="9" t="s">
        <v>28</v>
      </c>
      <c r="Q57" s="9">
        <v>1</v>
      </c>
      <c r="R57" s="9">
        <v>10</v>
      </c>
      <c r="S57" s="9">
        <v>0</v>
      </c>
      <c r="T57" s="9">
        <v>20</v>
      </c>
      <c r="U57" s="9">
        <v>0</v>
      </c>
      <c r="V57" s="9" t="s">
        <v>137</v>
      </c>
    </row>
    <row r="58" spans="3:22" x14ac:dyDescent="0.25">
      <c r="C58" t="str">
        <f t="shared" si="15"/>
        <v>GICS-beta3m(beta3m 1 3)</v>
      </c>
      <c r="D58" t="s">
        <v>149</v>
      </c>
      <c r="E58" t="s">
        <v>25</v>
      </c>
      <c r="F58" t="s">
        <v>26</v>
      </c>
      <c r="I58" t="s">
        <v>27</v>
      </c>
      <c r="J58" t="s">
        <v>28</v>
      </c>
      <c r="K58">
        <v>0.1</v>
      </c>
      <c r="L58">
        <v>10</v>
      </c>
      <c r="M58">
        <v>6</v>
      </c>
      <c r="N58" t="s">
        <v>145</v>
      </c>
      <c r="O58" t="s">
        <v>27</v>
      </c>
      <c r="P58" t="s">
        <v>28</v>
      </c>
      <c r="Q58">
        <v>1</v>
      </c>
      <c r="R58">
        <v>3</v>
      </c>
      <c r="S58">
        <v>0</v>
      </c>
      <c r="T58">
        <v>20</v>
      </c>
      <c r="U58">
        <v>0</v>
      </c>
      <c r="V58" t="s">
        <v>137</v>
      </c>
    </row>
    <row r="59" spans="3:22" x14ac:dyDescent="0.25">
      <c r="C59" t="str">
        <f t="shared" si="15"/>
        <v>GICS-beta3m(beta3m 1 3)</v>
      </c>
      <c r="D59" t="s">
        <v>149</v>
      </c>
      <c r="E59" t="s">
        <v>25</v>
      </c>
      <c r="F59" t="s">
        <v>26</v>
      </c>
      <c r="I59" t="s">
        <v>27</v>
      </c>
      <c r="J59" t="s">
        <v>28</v>
      </c>
      <c r="K59">
        <v>0.1</v>
      </c>
      <c r="L59">
        <v>10</v>
      </c>
      <c r="M59">
        <v>8</v>
      </c>
      <c r="N59" t="s">
        <v>145</v>
      </c>
      <c r="O59" t="s">
        <v>27</v>
      </c>
      <c r="P59" t="s">
        <v>28</v>
      </c>
      <c r="Q59">
        <v>1</v>
      </c>
      <c r="R59">
        <v>3</v>
      </c>
      <c r="S59">
        <v>0</v>
      </c>
      <c r="T59">
        <v>20</v>
      </c>
      <c r="U59">
        <v>0</v>
      </c>
      <c r="V59" t="s">
        <v>137</v>
      </c>
    </row>
    <row r="60" spans="3:22" s="9" customFormat="1" x14ac:dyDescent="0.25">
      <c r="C60" s="9" t="str">
        <f t="shared" si="15"/>
        <v>GICS-beta3m(beta3m 1 3)</v>
      </c>
      <c r="D60" s="9" t="s">
        <v>149</v>
      </c>
      <c r="E60" s="9" t="s">
        <v>25</v>
      </c>
      <c r="F60" s="9" t="s">
        <v>26</v>
      </c>
      <c r="I60" s="9" t="s">
        <v>27</v>
      </c>
      <c r="J60" s="9" t="s">
        <v>28</v>
      </c>
      <c r="K60" s="9">
        <v>0.1</v>
      </c>
      <c r="L60" s="9">
        <v>10</v>
      </c>
      <c r="M60" s="9">
        <v>10</v>
      </c>
      <c r="N60" s="9" t="s">
        <v>145</v>
      </c>
      <c r="O60" s="9" t="s">
        <v>27</v>
      </c>
      <c r="P60" s="9" t="s">
        <v>28</v>
      </c>
      <c r="Q60" s="9">
        <v>1</v>
      </c>
      <c r="R60" s="9">
        <v>3</v>
      </c>
      <c r="S60" s="9">
        <v>0</v>
      </c>
      <c r="T60" s="9">
        <v>20</v>
      </c>
      <c r="U60" s="9">
        <v>0</v>
      </c>
      <c r="V60" s="9" t="s">
        <v>137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60</v>
      </c>
      <c r="B1" s="7" t="s">
        <v>61</v>
      </c>
      <c r="C1" s="7" t="s">
        <v>62</v>
      </c>
    </row>
    <row r="2" spans="1:3" ht="30" x14ac:dyDescent="0.25">
      <c r="A2" t="s">
        <v>63</v>
      </c>
      <c r="B2">
        <v>3</v>
      </c>
      <c r="C2" s="8" t="s">
        <v>64</v>
      </c>
    </row>
    <row r="3" spans="1:3" x14ac:dyDescent="0.25">
      <c r="A3" t="s">
        <v>65</v>
      </c>
      <c r="B3">
        <v>315</v>
      </c>
      <c r="C3" s="8" t="s">
        <v>66</v>
      </c>
    </row>
    <row r="4" spans="1:3" x14ac:dyDescent="0.25">
      <c r="A4" t="s">
        <v>67</v>
      </c>
      <c r="B4">
        <v>63</v>
      </c>
      <c r="C4" s="8" t="s">
        <v>68</v>
      </c>
    </row>
    <row r="5" spans="1:3" x14ac:dyDescent="0.25">
      <c r="A5" t="s">
        <v>69</v>
      </c>
      <c r="B5" t="b">
        <v>1</v>
      </c>
      <c r="C5" s="8" t="s">
        <v>70</v>
      </c>
    </row>
    <row r="6" spans="1:3" ht="30" x14ac:dyDescent="0.25">
      <c r="A6" t="s">
        <v>71</v>
      </c>
      <c r="B6">
        <v>3</v>
      </c>
      <c r="C6" s="8" t="s">
        <v>72</v>
      </c>
    </row>
    <row r="7" spans="1:3" ht="30" x14ac:dyDescent="0.25">
      <c r="A7" t="s">
        <v>73</v>
      </c>
      <c r="B7" t="s">
        <v>74</v>
      </c>
      <c r="C7" s="8" t="s">
        <v>75</v>
      </c>
    </row>
    <row r="8" spans="1:3" ht="30" x14ac:dyDescent="0.25">
      <c r="A8" t="s">
        <v>76</v>
      </c>
      <c r="B8">
        <v>5</v>
      </c>
      <c r="C8" s="8" t="s">
        <v>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workbookViewId="0"/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78</v>
      </c>
      <c r="B1" s="7" t="s">
        <v>79</v>
      </c>
      <c r="C1" s="7" t="s">
        <v>80</v>
      </c>
      <c r="D1" s="7" t="s">
        <v>81</v>
      </c>
      <c r="E1" s="7" t="s">
        <v>82</v>
      </c>
      <c r="F1" s="7" t="s">
        <v>62</v>
      </c>
    </row>
    <row r="2" spans="1:6" ht="30" x14ac:dyDescent="0.25">
      <c r="A2" t="s">
        <v>0</v>
      </c>
      <c r="B2" t="s">
        <v>83</v>
      </c>
      <c r="C2" t="s">
        <v>84</v>
      </c>
      <c r="D2" t="s">
        <v>85</v>
      </c>
      <c r="F2" s="8" t="s">
        <v>86</v>
      </c>
    </row>
    <row r="3" spans="1:6" ht="30" x14ac:dyDescent="0.25">
      <c r="A3" t="s">
        <v>1</v>
      </c>
      <c r="B3" t="s">
        <v>83</v>
      </c>
      <c r="C3" t="s">
        <v>84</v>
      </c>
      <c r="D3" t="s">
        <v>85</v>
      </c>
      <c r="F3" s="8" t="s">
        <v>87</v>
      </c>
    </row>
    <row r="4" spans="1:6" x14ac:dyDescent="0.25">
      <c r="A4" t="s">
        <v>2</v>
      </c>
      <c r="B4" t="s">
        <v>83</v>
      </c>
      <c r="C4" t="s">
        <v>88</v>
      </c>
      <c r="F4" s="8" t="s">
        <v>89</v>
      </c>
    </row>
    <row r="5" spans="1:6" x14ac:dyDescent="0.25">
      <c r="A5" t="s">
        <v>3</v>
      </c>
      <c r="B5" t="s">
        <v>83</v>
      </c>
      <c r="C5" t="s">
        <v>88</v>
      </c>
      <c r="F5" s="8" t="s">
        <v>90</v>
      </c>
    </row>
    <row r="6" spans="1:6" ht="30" x14ac:dyDescent="0.25">
      <c r="A6" t="s">
        <v>4</v>
      </c>
      <c r="B6">
        <v>0</v>
      </c>
      <c r="C6" t="s">
        <v>91</v>
      </c>
      <c r="F6" s="8" t="s">
        <v>92</v>
      </c>
    </row>
    <row r="7" spans="1:6" x14ac:dyDescent="0.25">
      <c r="A7" t="s">
        <v>5</v>
      </c>
      <c r="B7">
        <v>1</v>
      </c>
      <c r="C7" t="s">
        <v>93</v>
      </c>
      <c r="D7" t="s">
        <v>26</v>
      </c>
      <c r="E7" t="s">
        <v>94</v>
      </c>
      <c r="F7" s="8" t="s">
        <v>95</v>
      </c>
    </row>
    <row r="8" spans="1:6" x14ac:dyDescent="0.25">
      <c r="A8" t="s">
        <v>6</v>
      </c>
      <c r="B8">
        <v>1</v>
      </c>
      <c r="C8" t="s">
        <v>96</v>
      </c>
      <c r="F8" s="8" t="s">
        <v>97</v>
      </c>
    </row>
    <row r="9" spans="1:6" x14ac:dyDescent="0.25">
      <c r="A9" t="s">
        <v>7</v>
      </c>
      <c r="B9">
        <v>1</v>
      </c>
      <c r="C9" t="s">
        <v>98</v>
      </c>
      <c r="D9" t="s">
        <v>99</v>
      </c>
      <c r="F9" s="8" t="s">
        <v>100</v>
      </c>
    </row>
    <row r="10" spans="1:6" x14ac:dyDescent="0.25">
      <c r="A10" t="s">
        <v>8</v>
      </c>
      <c r="B10">
        <v>1</v>
      </c>
      <c r="C10" t="s">
        <v>88</v>
      </c>
      <c r="D10" t="s">
        <v>32</v>
      </c>
      <c r="F10" s="8" t="s">
        <v>101</v>
      </c>
    </row>
    <row r="11" spans="1:6" x14ac:dyDescent="0.25">
      <c r="A11" t="s">
        <v>9</v>
      </c>
      <c r="B11">
        <v>1</v>
      </c>
      <c r="C11" t="s">
        <v>102</v>
      </c>
      <c r="D11" t="s">
        <v>103</v>
      </c>
      <c r="F11" s="8" t="s">
        <v>104</v>
      </c>
    </row>
    <row r="12" spans="1:6" ht="30" x14ac:dyDescent="0.25">
      <c r="A12" t="s">
        <v>10</v>
      </c>
      <c r="B12">
        <v>1</v>
      </c>
      <c r="C12" t="s">
        <v>98</v>
      </c>
      <c r="D12" t="s">
        <v>105</v>
      </c>
      <c r="F12" s="8" t="s">
        <v>106</v>
      </c>
    </row>
    <row r="13" spans="1:6" ht="60" x14ac:dyDescent="0.25">
      <c r="A13" t="s">
        <v>11</v>
      </c>
      <c r="B13">
        <v>1</v>
      </c>
      <c r="C13" t="s">
        <v>96</v>
      </c>
      <c r="D13" t="s">
        <v>107</v>
      </c>
      <c r="F13" s="8" t="s">
        <v>108</v>
      </c>
    </row>
    <row r="14" spans="1:6" ht="30" x14ac:dyDescent="0.25">
      <c r="A14" t="s">
        <v>12</v>
      </c>
      <c r="B14">
        <v>2</v>
      </c>
      <c r="C14" t="s">
        <v>96</v>
      </c>
      <c r="D14" t="s">
        <v>107</v>
      </c>
      <c r="F14" s="8" t="s">
        <v>109</v>
      </c>
    </row>
    <row r="15" spans="1:6" x14ac:dyDescent="0.25">
      <c r="A15" t="s">
        <v>13</v>
      </c>
      <c r="B15">
        <v>2</v>
      </c>
      <c r="C15" t="s">
        <v>91</v>
      </c>
      <c r="F15" s="8" t="s">
        <v>110</v>
      </c>
    </row>
    <row r="16" spans="1:6" x14ac:dyDescent="0.25">
      <c r="A16" t="s">
        <v>14</v>
      </c>
      <c r="B16">
        <v>2</v>
      </c>
      <c r="C16" t="s">
        <v>88</v>
      </c>
      <c r="D16" t="s">
        <v>32</v>
      </c>
      <c r="F16" s="8" t="s">
        <v>111</v>
      </c>
    </row>
    <row r="17" spans="1:6" x14ac:dyDescent="0.25">
      <c r="A17" t="s">
        <v>15</v>
      </c>
      <c r="B17">
        <v>2</v>
      </c>
      <c r="C17" t="s">
        <v>102</v>
      </c>
      <c r="D17" t="s">
        <v>103</v>
      </c>
      <c r="F17" s="8" t="s">
        <v>112</v>
      </c>
    </row>
    <row r="18" spans="1:6" ht="30" x14ac:dyDescent="0.25">
      <c r="A18" t="s">
        <v>16</v>
      </c>
      <c r="B18">
        <v>2</v>
      </c>
      <c r="C18" t="s">
        <v>16</v>
      </c>
      <c r="D18" t="s">
        <v>113</v>
      </c>
      <c r="F18" s="8" t="s">
        <v>114</v>
      </c>
    </row>
    <row r="19" spans="1:6" x14ac:dyDescent="0.25">
      <c r="A19" t="s">
        <v>17</v>
      </c>
      <c r="B19">
        <v>2</v>
      </c>
      <c r="C19" t="s">
        <v>96</v>
      </c>
      <c r="D19" t="s">
        <v>115</v>
      </c>
      <c r="F19" s="8" t="s">
        <v>116</v>
      </c>
    </row>
    <row r="20" spans="1:6" ht="45" x14ac:dyDescent="0.25">
      <c r="A20" t="s">
        <v>18</v>
      </c>
      <c r="B20">
        <v>2</v>
      </c>
      <c r="C20" t="s">
        <v>98</v>
      </c>
      <c r="D20" t="s">
        <v>117</v>
      </c>
      <c r="F20" s="8" t="s">
        <v>118</v>
      </c>
    </row>
    <row r="21" spans="1:6" x14ac:dyDescent="0.25">
      <c r="A21" t="s">
        <v>19</v>
      </c>
      <c r="B21">
        <v>3</v>
      </c>
      <c r="C21" t="s">
        <v>96</v>
      </c>
      <c r="D21" t="s">
        <v>119</v>
      </c>
      <c r="E21" t="s">
        <v>120</v>
      </c>
      <c r="F21" s="8" t="s">
        <v>121</v>
      </c>
    </row>
    <row r="22" spans="1:6" x14ac:dyDescent="0.25">
      <c r="A22" t="s">
        <v>20</v>
      </c>
      <c r="B22">
        <v>3</v>
      </c>
      <c r="C22" t="s">
        <v>96</v>
      </c>
      <c r="D22" t="s">
        <v>122</v>
      </c>
      <c r="F22" s="8" t="s">
        <v>123</v>
      </c>
    </row>
    <row r="23" spans="1:6" x14ac:dyDescent="0.25">
      <c r="A23" t="s">
        <v>21</v>
      </c>
      <c r="B23">
        <v>3</v>
      </c>
      <c r="C23" t="s">
        <v>124</v>
      </c>
      <c r="D23" t="s">
        <v>125</v>
      </c>
      <c r="F23" s="8" t="s">
        <v>126</v>
      </c>
    </row>
    <row r="24" spans="1:6" ht="30" x14ac:dyDescent="0.25">
      <c r="A24" t="s">
        <v>22</v>
      </c>
      <c r="B24">
        <v>4</v>
      </c>
      <c r="C24" t="s">
        <v>88</v>
      </c>
      <c r="F24" s="8" t="s">
        <v>127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2026-08-13T15:08:33Z</dcterms:created>
  <dcterms:modified xsi:type="dcterms:W3CDTF">2026-08-24T13:34:19Z</dcterms:modified>
</cp:coreProperties>
</file>