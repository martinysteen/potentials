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1F41C018-4A53-438F-8BCC-539C1AF45A16}" xr6:coauthVersionLast="47" xr6:coauthVersionMax="47" xr10:uidLastSave="{00000000-0000-0000-0000-000000000000}"/>
  <bookViews>
    <workbookView xWindow="12750" yWindow="1200" windowWidth="42180" windowHeight="15240" xr2:uid="{00000000-000D-0000-FFFF-FFFF00000000}"/>
  </bookViews>
  <sheets>
    <sheet name="Runs" sheetId="1" r:id="rId1"/>
    <sheet name="Settings" sheetId="2" r:id="rId2"/>
    <sheet name="Legend" sheetId="3" r:id="rId3"/>
    <sheet name="Run1" sheetId="5" r:id="rId4"/>
    <sheet name="Run1_data" sheetId="4" r:id="rId5"/>
  </sheets>
  <externalReferences>
    <externalReference r:id="rId6"/>
  </externalReferences>
  <calcPr calcId="191029"/>
</workbook>
</file>

<file path=xl/calcChain.xml><?xml version="1.0" encoding="utf-8"?>
<calcChain xmlns="http://schemas.openxmlformats.org/spreadsheetml/2006/main">
  <c r="C61" i="1" l="1"/>
  <c r="D61" i="1" s="1"/>
  <c r="C60" i="1"/>
  <c r="D60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2" i="1"/>
  <c r="D32" i="1" s="1"/>
  <c r="D2" i="5"/>
  <c r="C97" i="5"/>
  <c r="D97" i="5" s="1"/>
  <c r="C96" i="5"/>
  <c r="D96" i="5" s="1"/>
  <c r="C95" i="5"/>
  <c r="D95" i="5" s="1"/>
  <c r="C94" i="5"/>
  <c r="D94" i="5" s="1"/>
  <c r="C93" i="5"/>
  <c r="D93" i="5" s="1"/>
  <c r="C92" i="5"/>
  <c r="D92" i="5" s="1"/>
  <c r="C91" i="5"/>
  <c r="D91" i="5" s="1"/>
  <c r="C90" i="5"/>
  <c r="D90" i="5" s="1"/>
  <c r="C89" i="5"/>
  <c r="D89" i="5" s="1"/>
  <c r="C88" i="5"/>
  <c r="D88" i="5" s="1"/>
  <c r="C87" i="5"/>
  <c r="D87" i="5" s="1"/>
  <c r="C86" i="5"/>
  <c r="D86" i="5" s="1"/>
  <c r="C85" i="5"/>
  <c r="D85" i="5" s="1"/>
  <c r="C84" i="5"/>
  <c r="D84" i="5" s="1"/>
  <c r="C83" i="5"/>
  <c r="D83" i="5" s="1"/>
  <c r="C82" i="5"/>
  <c r="D82" i="5" s="1"/>
  <c r="C81" i="5"/>
  <c r="D81" i="5" s="1"/>
  <c r="C80" i="5"/>
  <c r="D80" i="5" s="1"/>
  <c r="C79" i="5"/>
  <c r="D79" i="5" s="1"/>
  <c r="C78" i="5"/>
  <c r="D78" i="5" s="1"/>
  <c r="C77" i="5"/>
  <c r="D77" i="5" s="1"/>
  <c r="C76" i="5"/>
  <c r="D76" i="5" s="1"/>
  <c r="C75" i="5"/>
  <c r="D75" i="5" s="1"/>
  <c r="C74" i="5"/>
  <c r="D74" i="5" s="1"/>
  <c r="C73" i="5"/>
  <c r="D73" i="5" s="1"/>
  <c r="C72" i="5"/>
  <c r="D72" i="5" s="1"/>
  <c r="C71" i="5"/>
  <c r="D71" i="5" s="1"/>
  <c r="C70" i="5"/>
  <c r="D70" i="5" s="1"/>
  <c r="C69" i="5"/>
  <c r="D69" i="5" s="1"/>
  <c r="C68" i="5"/>
  <c r="D68" i="5" s="1"/>
  <c r="C67" i="5"/>
  <c r="D67" i="5" s="1"/>
  <c r="C66" i="5"/>
  <c r="D66" i="5" s="1"/>
  <c r="C65" i="5"/>
  <c r="D65" i="5" s="1"/>
  <c r="C64" i="5"/>
  <c r="D64" i="5" s="1"/>
  <c r="C63" i="5"/>
  <c r="D63" i="5" s="1"/>
  <c r="C62" i="5"/>
  <c r="D62" i="5" s="1"/>
  <c r="C61" i="5"/>
  <c r="D61" i="5" s="1"/>
  <c r="C60" i="5"/>
  <c r="D60" i="5" s="1"/>
  <c r="C59" i="5"/>
  <c r="D59" i="5" s="1"/>
  <c r="C58" i="5"/>
  <c r="D58" i="5" s="1"/>
  <c r="C57" i="5"/>
  <c r="D57" i="5" s="1"/>
  <c r="C56" i="5"/>
  <c r="D56" i="5" s="1"/>
  <c r="C55" i="5"/>
  <c r="D55" i="5" s="1"/>
  <c r="C54" i="5"/>
  <c r="D54" i="5" s="1"/>
  <c r="C53" i="5"/>
  <c r="D53" i="5" s="1"/>
  <c r="C52" i="5"/>
  <c r="D52" i="5" s="1"/>
  <c r="C51" i="5"/>
  <c r="D51" i="5" s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C13" i="5"/>
  <c r="D13" i="5" s="1"/>
  <c r="C12" i="5"/>
  <c r="D12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C5" i="5"/>
  <c r="D5" i="5" s="1"/>
  <c r="C4" i="5"/>
  <c r="D4" i="5" s="1"/>
  <c r="C3" i="5"/>
  <c r="D3" i="5" s="1"/>
  <c r="C2" i="5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</calcChain>
</file>

<file path=xl/sharedStrings.xml><?xml version="1.0" encoding="utf-8"?>
<sst xmlns="http://schemas.openxmlformats.org/spreadsheetml/2006/main" count="1743" uniqueCount="167">
  <si>
    <t>active</t>
  </si>
  <si>
    <t>purpose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</si>
  <si>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</si>
  <si>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</si>
  <si>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</si>
  <si>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</si>
  <si>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</si>
  <si>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</si>
  <si>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</si>
  <si>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</si>
  <si>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</si>
  <si>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</si>
  <si>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</si>
  <si>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</si>
  <si>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</si>
  <si>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</si>
  <si>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</si>
  <si>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</si>
  <si>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period</t>
  </si>
  <si>
    <t>no_go_gspc_rsi</t>
  </si>
  <si>
    <t>informational_attributes</t>
  </si>
  <si>
    <t>stop_loss</t>
  </si>
  <si>
    <t>wf_group</t>
  </si>
  <si>
    <t>D</t>
  </si>
  <si>
    <t>Stamdata.GICS</t>
  </si>
  <si>
    <t>A</t>
  </si>
  <si>
    <t>rsi</t>
  </si>
  <si>
    <t>big_wins</t>
  </si>
  <si>
    <t>rank</t>
  </si>
  <si>
    <t>small_wins</t>
  </si>
  <si>
    <t>spr100d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</si>
  <si>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</si>
  <si>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</si>
  <si>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</si>
  <si>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</si>
  <si>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</si>
  <si>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</si>
  <si>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</si>
  <si>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</si>
  <si>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</si>
  <si>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</si>
  <si>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</si>
  <si>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</si>
  <si>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How many P-purpose rows' gross lists ship in StrategicStocks.xlsx.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</si>
  <si>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</si>
  <si>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</si>
  <si>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</si>
  <si>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</si>
  <si>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</si>
  <si>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</si>
  <si>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</si>
  <si>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</si>
  <si>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</si>
  <si>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</si>
  <si>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</si>
  <si>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</si>
  <si>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</si>
  <si>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run this row this tick.</t>
  </si>
  <si>
    <t>choice</t>
  </si>
  <si>
    <t>P, D</t>
  </si>
  <si>
    <t>P = production (steps 0-2 only), D = development (steps 0-4).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</si>
  <si>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</si>
  <si>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</si>
  <si>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</si>
  <si>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</si>
  <si>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</si>
  <si>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</si>
  <si>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</si>
  <si>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</si>
  <si>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</si>
  <si>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</si>
  <si>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</si>
  <si>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</si>
  <si>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</si>
  <si>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</si>
  <si>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</si>
  <si>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</si>
  <si>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</si>
  <si>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</si>
  <si>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</si>
  <si>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Absolute floor on qualifying tickers a group needs to dominate.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</si>
  <si>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</si>
  <si>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</si>
  <si>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</si>
  <si>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</si>
  <si>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</si>
  <si>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</si>
  <si>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</si>
  <si>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</si>
  <si>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</si>
  <si>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</si>
  <si>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</si>
  <si>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</si>
  <si>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</si>
  <si>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</si>
  <si>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</si>
  <si>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</si>
  <si>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</si>
  <si>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</si>
  <si>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Candidate pool (by label, comma-separated) for selection-skill scoring. Blank = every other active D-purpose row.</t>
  </si>
  <si>
    <t>Stamdata.GICS .and. Stamdata.Zone='NY'</t>
  </si>
  <si>
    <t>beta3m</t>
  </si>
  <si>
    <t>PdivMA20</t>
  </si>
  <si>
    <t>per20d</t>
  </si>
  <si>
    <t>quot1020</t>
  </si>
  <si>
    <t>quot2050</t>
  </si>
  <si>
    <t>sh3m</t>
  </si>
  <si>
    <t>trump</t>
  </si>
  <si>
    <t>median_30d</t>
  </si>
  <si>
    <t>x</t>
  </si>
  <si>
    <t>Stamdata.ZONE</t>
  </si>
  <si>
    <t>Stamdata.Fkgrade</t>
  </si>
  <si>
    <t>rank, rsi, per1d</t>
  </si>
  <si>
    <t>vola20d</t>
  </si>
  <si>
    <t>metric</t>
  </si>
  <si>
    <t>FKgrade-spr100d(-1)</t>
  </si>
  <si>
    <t>GICS-spr100d(-1)</t>
  </si>
  <si>
    <t>ZONE-spr100d(-1)</t>
  </si>
  <si>
    <t>GICS-trump(-1)</t>
  </si>
  <si>
    <t>GICSNY-spr100d(-1)</t>
  </si>
  <si>
    <t>FKgrade-trump(-1)</t>
  </si>
  <si>
    <t>ZONE-trump(-1)</t>
  </si>
  <si>
    <t>FKgrade-sh3m(-1)</t>
  </si>
  <si>
    <t>GICSNY-sh3m(-1)</t>
  </si>
  <si>
    <t>ZONE-sh3m(-1)</t>
  </si>
  <si>
    <t>ZONE-quot2050(-1)</t>
  </si>
  <si>
    <t>FKgrade-beta3m(-1)</t>
  </si>
  <si>
    <t>GICS-rsi(-1)</t>
  </si>
  <si>
    <t>FKgrade-vola20d(-1)</t>
  </si>
  <si>
    <t>GICS-PdivMA20(-1)</t>
  </si>
  <si>
    <t>GICS-sh3m(-1)</t>
  </si>
  <si>
    <t>FKgrade-rank(-1)</t>
  </si>
  <si>
    <t>GICS-rank(-1)</t>
  </si>
  <si>
    <t>FKgrade-quot2050(-1)</t>
  </si>
  <si>
    <t>FKgrade-quot1020(-1)</t>
  </si>
  <si>
    <t>FKgrade-rsi(-1)</t>
  </si>
  <si>
    <t>FKgrade-PdivMA20(-1)</t>
  </si>
  <si>
    <t>FKgrade-per20d(-1)</t>
  </si>
  <si>
    <t>GICSNY-rsi(-1)</t>
  </si>
  <si>
    <t>FKgrade-median_30d(-1)</t>
  </si>
  <si>
    <t>GICS-beta3m(-1)</t>
  </si>
  <si>
    <t>GICSNY-rank(-1)</t>
  </si>
  <si>
    <t>GICSNY-PdivMA20(-1)</t>
  </si>
  <si>
    <t>GICSNY-beta3m(-1)</t>
  </si>
  <si>
    <t>GICSNY-vola20d(-1)</t>
  </si>
  <si>
    <t>-1</t>
  </si>
  <si>
    <t>StartDaynum</t>
  </si>
  <si>
    <t>EndDaynum</t>
  </si>
  <si>
    <t>N_hops</t>
  </si>
  <si>
    <t>N_hops_active</t>
  </si>
  <si>
    <t>avg_gain</t>
  </si>
  <si>
    <t>median_gain</t>
  </si>
  <si>
    <t>hit_rate%</t>
  </si>
  <si>
    <t>avg_alpha</t>
  </si>
  <si>
    <t>avg_beta</t>
  </si>
  <si>
    <t>chain_ret</t>
  </si>
  <si>
    <t>chain_annual</t>
  </si>
  <si>
    <t>chain_n</t>
  </si>
  <si>
    <t>origin_sens%</t>
  </si>
  <si>
    <t>N_loss</t>
  </si>
  <si>
    <t>Worst</t>
  </si>
  <si>
    <t>avg_partial_gain</t>
  </si>
  <si>
    <t>avg_partial_alpha</t>
  </si>
  <si>
    <t>n_open_hops</t>
  </si>
  <si>
    <t>n_stopped</t>
  </si>
  <si>
    <t>stop_net_per_position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</si>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</sst>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9" borderId="0" xfId="0" applyFill="1"/>
    <xf numFmtId="0" fontId="0" fillId="10" borderId="0" xfId="0" applyFill="1"/>
    <xf numFmtId="0" fontId="1" fillId="0" borderId="0" xfId="0" applyFont="1"/>
    <xf numFmtId="0" fontId="1" fillId="9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Gandalf\sm-home\potentials\strategy_grp2\app\report\compare_strategies_20260810.xlsx" TargetMode="External"/><Relationship Id="rId1" Type="http://schemas.openxmlformats.org/officeDocument/2006/relationships/externalLinkPath" Target="/potentials/strategy_grp2/app/report/compare_strategies_202608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uns"/>
      <sheetName val="Step1_groups"/>
      <sheetName val="Step2_picks"/>
      <sheetName val="Step3_compare"/>
      <sheetName val="Step3a_stopout"/>
      <sheetName val="Step4_walkforward"/>
      <sheetName val="Charts"/>
    </sheetNames>
    <sheetDataSet>
      <sheetData sheetId="0">
        <row r="1">
          <cell r="C1" t="str">
            <v>label</v>
          </cell>
          <cell r="D1" t="str">
            <v>note</v>
          </cell>
        </row>
        <row r="2">
          <cell r="C2" t="str">
            <v>GICS-rsi(1)</v>
          </cell>
          <cell r="D2">
            <v>1</v>
          </cell>
        </row>
        <row r="3">
          <cell r="C3" t="str">
            <v>GICS-beta3m(1)</v>
          </cell>
          <cell r="D3">
            <v>2</v>
          </cell>
        </row>
        <row r="4">
          <cell r="C4" t="str">
            <v>GICS-PdivMA20(1)</v>
          </cell>
          <cell r="D4">
            <v>3</v>
          </cell>
        </row>
        <row r="5">
          <cell r="C5" t="str">
            <v>GICS-per20d(1)</v>
          </cell>
          <cell r="D5">
            <v>4</v>
          </cell>
        </row>
        <row r="6">
          <cell r="C6" t="str">
            <v>GICS-quot1020(1)</v>
          </cell>
          <cell r="D6">
            <v>5</v>
          </cell>
        </row>
        <row r="7">
          <cell r="C7" t="str">
            <v>GICS-quot2050(1)</v>
          </cell>
          <cell r="D7">
            <v>6</v>
          </cell>
        </row>
        <row r="8">
          <cell r="C8" t="str">
            <v>GICS-sh3m(1)</v>
          </cell>
          <cell r="D8">
            <v>7</v>
          </cell>
        </row>
        <row r="9">
          <cell r="C9" t="str">
            <v>GICS-stepup40(1)</v>
          </cell>
          <cell r="D9">
            <v>8</v>
          </cell>
        </row>
        <row r="10">
          <cell r="C10" t="str">
            <v>GICS-trump(1)</v>
          </cell>
          <cell r="D10">
            <v>9</v>
          </cell>
        </row>
        <row r="11">
          <cell r="C11" t="str">
            <v>GICS-vola20d(1)</v>
          </cell>
          <cell r="D11">
            <v>10</v>
          </cell>
        </row>
        <row r="12">
          <cell r="C12" t="str">
            <v>GICS-rank(1)</v>
          </cell>
          <cell r="D12">
            <v>11</v>
          </cell>
        </row>
        <row r="13">
          <cell r="C13" t="str">
            <v>GICS-median_30d(1)</v>
          </cell>
          <cell r="D13">
            <v>12</v>
          </cell>
        </row>
        <row r="14">
          <cell r="C14" t="str">
            <v>GICS-spr100d(1)</v>
          </cell>
          <cell r="D14">
            <v>13</v>
          </cell>
        </row>
        <row r="15">
          <cell r="C15" t="str">
            <v>GICSNY-rsi(1)</v>
          </cell>
          <cell r="D15">
            <v>14</v>
          </cell>
        </row>
        <row r="16">
          <cell r="C16" t="str">
            <v>GICSNY-beta3m(1)</v>
          </cell>
          <cell r="D16">
            <v>15</v>
          </cell>
        </row>
        <row r="17">
          <cell r="C17" t="str">
            <v>GICSNY-PdivMA20(1)</v>
          </cell>
          <cell r="D17">
            <v>16</v>
          </cell>
        </row>
        <row r="18">
          <cell r="C18" t="str">
            <v>GICSNY-per20d(1)</v>
          </cell>
          <cell r="D18">
            <v>17</v>
          </cell>
        </row>
        <row r="19">
          <cell r="C19" t="str">
            <v>GICSNY-quot1020(1)</v>
          </cell>
          <cell r="D19">
            <v>18</v>
          </cell>
        </row>
        <row r="20">
          <cell r="C20" t="str">
            <v>GICSNY-quot2050(1)</v>
          </cell>
          <cell r="D20">
            <v>19</v>
          </cell>
        </row>
        <row r="21">
          <cell r="C21" t="str">
            <v>GICSNY-sh3m(1)</v>
          </cell>
          <cell r="D21">
            <v>20</v>
          </cell>
        </row>
        <row r="22">
          <cell r="C22" t="str">
            <v>GICSNY-stepup40(1)</v>
          </cell>
          <cell r="D22">
            <v>21</v>
          </cell>
        </row>
        <row r="23">
          <cell r="C23" t="str">
            <v>GICSNY-trump(1)</v>
          </cell>
          <cell r="D23">
            <v>22</v>
          </cell>
        </row>
        <row r="24">
          <cell r="C24" t="str">
            <v>GICSNY-vola20d(1)</v>
          </cell>
          <cell r="D24">
            <v>23</v>
          </cell>
        </row>
        <row r="25">
          <cell r="C25" t="str">
            <v>GICSNY-rank(1)</v>
          </cell>
          <cell r="D25">
            <v>24</v>
          </cell>
        </row>
        <row r="26">
          <cell r="C26" t="str">
            <v>GICSNY-median_30d(1)</v>
          </cell>
          <cell r="D26">
            <v>25</v>
          </cell>
        </row>
        <row r="27">
          <cell r="C27" t="str">
            <v>GICSNY-spr100d(1)</v>
          </cell>
          <cell r="D27">
            <v>26</v>
          </cell>
        </row>
        <row r="28">
          <cell r="C28" t="str">
            <v>ZONE-rsi(1)</v>
          </cell>
          <cell r="D28">
            <v>27</v>
          </cell>
        </row>
        <row r="29">
          <cell r="C29" t="str">
            <v>ZONE-beta3m(1)</v>
          </cell>
          <cell r="D29">
            <v>28</v>
          </cell>
        </row>
        <row r="30">
          <cell r="C30" t="str">
            <v>ZONE-PdivMA20(1)</v>
          </cell>
          <cell r="D30">
            <v>29</v>
          </cell>
        </row>
        <row r="31">
          <cell r="C31" t="str">
            <v>ZONE-per20d(1)</v>
          </cell>
          <cell r="D31">
            <v>30</v>
          </cell>
        </row>
        <row r="32">
          <cell r="C32" t="str">
            <v>ZONE-quot1020(1)</v>
          </cell>
          <cell r="D32">
            <v>31</v>
          </cell>
        </row>
        <row r="33">
          <cell r="C33" t="str">
            <v>ZONE-quot2050(1)</v>
          </cell>
          <cell r="D33">
            <v>32</v>
          </cell>
        </row>
        <row r="34">
          <cell r="C34" t="str">
            <v>ZONE-sh3m(1)</v>
          </cell>
          <cell r="D34">
            <v>33</v>
          </cell>
        </row>
        <row r="35">
          <cell r="C35" t="str">
            <v>ZONE-stepup40(1)</v>
          </cell>
          <cell r="D35">
            <v>34</v>
          </cell>
        </row>
        <row r="36">
          <cell r="C36" t="str">
            <v>ZONE-trump(1)</v>
          </cell>
          <cell r="D36">
            <v>35</v>
          </cell>
        </row>
        <row r="37">
          <cell r="C37" t="str">
            <v>ZONE-vola20d(1)</v>
          </cell>
          <cell r="D37">
            <v>36</v>
          </cell>
        </row>
        <row r="38">
          <cell r="C38" t="str">
            <v>ZONE-rank(1)</v>
          </cell>
          <cell r="D38">
            <v>37</v>
          </cell>
        </row>
        <row r="39">
          <cell r="C39" t="str">
            <v>ZONE-median_30d(1)</v>
          </cell>
          <cell r="D39">
            <v>38</v>
          </cell>
        </row>
        <row r="40">
          <cell r="C40" t="str">
            <v>ZONE-spr100d(1)</v>
          </cell>
          <cell r="D40">
            <v>39</v>
          </cell>
        </row>
        <row r="41">
          <cell r="C41" t="str">
            <v>FKgrade-rsi(1)</v>
          </cell>
          <cell r="D41">
            <v>40</v>
          </cell>
        </row>
        <row r="42">
          <cell r="C42" t="str">
            <v>FKgrade-beta3m(1)</v>
          </cell>
          <cell r="D42">
            <v>41</v>
          </cell>
        </row>
        <row r="43">
          <cell r="C43" t="str">
            <v>FKgrade-PdivMA20(1)</v>
          </cell>
          <cell r="D43">
            <v>42</v>
          </cell>
        </row>
        <row r="44">
          <cell r="C44" t="str">
            <v>FKgrade-per20d(1)</v>
          </cell>
          <cell r="D44">
            <v>43</v>
          </cell>
        </row>
        <row r="45">
          <cell r="C45" t="str">
            <v>FKgrade-quot1020(1)</v>
          </cell>
          <cell r="D45">
            <v>44</v>
          </cell>
        </row>
        <row r="46">
          <cell r="C46" t="str">
            <v>FKgrade-quot2050(1)</v>
          </cell>
          <cell r="D46">
            <v>45</v>
          </cell>
        </row>
        <row r="47">
          <cell r="C47" t="str">
            <v>FKgrade-sh3m(1)</v>
          </cell>
          <cell r="D47">
            <v>46</v>
          </cell>
        </row>
        <row r="48">
          <cell r="C48" t="str">
            <v>FKgrade-stepup40(1)</v>
          </cell>
          <cell r="D48">
            <v>47</v>
          </cell>
        </row>
        <row r="49">
          <cell r="C49" t="str">
            <v>FKgrade-trump(1)</v>
          </cell>
          <cell r="D49">
            <v>48</v>
          </cell>
        </row>
        <row r="50">
          <cell r="C50" t="str">
            <v>FKgrade-vola20d(1)</v>
          </cell>
          <cell r="D50">
            <v>49</v>
          </cell>
        </row>
        <row r="51">
          <cell r="C51" t="str">
            <v>FKgrade-rank(1)</v>
          </cell>
          <cell r="D51">
            <v>50</v>
          </cell>
        </row>
        <row r="52">
          <cell r="C52" t="str">
            <v>FKgrade-median_30d(1)</v>
          </cell>
          <cell r="D52">
            <v>51</v>
          </cell>
        </row>
        <row r="53">
          <cell r="C53" t="str">
            <v>FKgrade-spr100d(1)</v>
          </cell>
          <cell r="D53">
            <v>52</v>
          </cell>
        </row>
        <row r="54">
          <cell r="C54" t="str">
            <v>GICS-rsi(-1)</v>
          </cell>
          <cell r="D54">
            <v>53</v>
          </cell>
        </row>
        <row r="55">
          <cell r="C55" t="str">
            <v>GICS-beta3m(-1)</v>
          </cell>
          <cell r="D55">
            <v>54</v>
          </cell>
        </row>
        <row r="56">
          <cell r="C56" t="str">
            <v>GICS-PdivMA20(-1)</v>
          </cell>
          <cell r="D56">
            <v>55</v>
          </cell>
        </row>
        <row r="57">
          <cell r="C57" t="str">
            <v>GICS-per20d(-1)</v>
          </cell>
          <cell r="D57">
            <v>56</v>
          </cell>
        </row>
        <row r="58">
          <cell r="C58" t="str">
            <v>GICS-quot1020(-1)</v>
          </cell>
          <cell r="D58">
            <v>57</v>
          </cell>
        </row>
        <row r="59">
          <cell r="C59" t="str">
            <v>GICS-quot2050(-1)</v>
          </cell>
          <cell r="D59">
            <v>58</v>
          </cell>
        </row>
        <row r="60">
          <cell r="C60" t="str">
            <v>GICS-sh3m(-1)</v>
          </cell>
          <cell r="D60">
            <v>59</v>
          </cell>
        </row>
        <row r="61">
          <cell r="C61" t="str">
            <v>GICS-stepup40(-1)</v>
          </cell>
          <cell r="D61">
            <v>60</v>
          </cell>
        </row>
        <row r="62">
          <cell r="C62" t="str">
            <v>GICS-trump(-1)</v>
          </cell>
          <cell r="D62">
            <v>61</v>
          </cell>
        </row>
        <row r="63">
          <cell r="C63" t="str">
            <v>GICS-vola20d(-1)</v>
          </cell>
          <cell r="D63">
            <v>62</v>
          </cell>
        </row>
        <row r="64">
          <cell r="C64" t="str">
            <v>GICS-rank(-1)</v>
          </cell>
          <cell r="D64">
            <v>63</v>
          </cell>
        </row>
        <row r="65">
          <cell r="C65" t="str">
            <v>GICS-median_30d(-1)</v>
          </cell>
          <cell r="D65">
            <v>64</v>
          </cell>
        </row>
        <row r="66">
          <cell r="C66" t="str">
            <v>GICS-spr100d(-1)</v>
          </cell>
          <cell r="D66">
            <v>65</v>
          </cell>
        </row>
        <row r="67">
          <cell r="C67" t="str">
            <v>GICSNY-rsi(-1)</v>
          </cell>
          <cell r="D67">
            <v>66</v>
          </cell>
        </row>
        <row r="68">
          <cell r="C68" t="str">
            <v>GICSNY-beta3m(-1)</v>
          </cell>
          <cell r="D68">
            <v>67</v>
          </cell>
        </row>
        <row r="69">
          <cell r="C69" t="str">
            <v>GICSNY-PdivMA20(-1)</v>
          </cell>
          <cell r="D69">
            <v>68</v>
          </cell>
        </row>
        <row r="70">
          <cell r="C70" t="str">
            <v>GICSNY-per20d(-1)</v>
          </cell>
          <cell r="D70">
            <v>69</v>
          </cell>
        </row>
        <row r="71">
          <cell r="C71" t="str">
            <v>GICSNY-quot1020(-1)</v>
          </cell>
          <cell r="D71">
            <v>70</v>
          </cell>
        </row>
        <row r="72">
          <cell r="C72" t="str">
            <v>GICSNY-quot2050(-1)</v>
          </cell>
          <cell r="D72">
            <v>71</v>
          </cell>
        </row>
        <row r="73">
          <cell r="C73" t="str">
            <v>GICSNY-sh3m(-1)</v>
          </cell>
          <cell r="D73">
            <v>72</v>
          </cell>
        </row>
        <row r="74">
          <cell r="C74" t="str">
            <v>GICSNY-stepup40(-1)</v>
          </cell>
          <cell r="D74">
            <v>73</v>
          </cell>
        </row>
        <row r="75">
          <cell r="C75" t="str">
            <v>GICSNY-trump(-1)</v>
          </cell>
          <cell r="D75">
            <v>74</v>
          </cell>
        </row>
        <row r="76">
          <cell r="C76" t="str">
            <v>GICSNY-vola20d(-1)</v>
          </cell>
          <cell r="D76">
            <v>75</v>
          </cell>
        </row>
        <row r="77">
          <cell r="C77" t="str">
            <v>GICSNY-rank(-1)</v>
          </cell>
          <cell r="D77">
            <v>76</v>
          </cell>
        </row>
        <row r="78">
          <cell r="C78" t="str">
            <v>GICSNY-median_30d(-1)</v>
          </cell>
          <cell r="D78">
            <v>77</v>
          </cell>
        </row>
        <row r="79">
          <cell r="C79" t="str">
            <v>GICSNY-spr100d(-1)</v>
          </cell>
          <cell r="D79">
            <v>78</v>
          </cell>
        </row>
        <row r="80">
          <cell r="C80" t="str">
            <v>ZONE-rsi(-1)</v>
          </cell>
          <cell r="D80">
            <v>79</v>
          </cell>
        </row>
        <row r="81">
          <cell r="C81" t="str">
            <v>ZONE-beta3m(-1)</v>
          </cell>
          <cell r="D81">
            <v>80</v>
          </cell>
        </row>
        <row r="82">
          <cell r="C82" t="str">
            <v>ZONE-PdivMA20(-1)</v>
          </cell>
          <cell r="D82">
            <v>81</v>
          </cell>
        </row>
        <row r="83">
          <cell r="C83" t="str">
            <v>ZONE-per20d(-1)</v>
          </cell>
          <cell r="D83">
            <v>82</v>
          </cell>
        </row>
        <row r="84">
          <cell r="C84" t="str">
            <v>ZONE-quot1020(-1)</v>
          </cell>
          <cell r="D84">
            <v>83</v>
          </cell>
        </row>
        <row r="85">
          <cell r="C85" t="str">
            <v>ZONE-quot2050(-1)</v>
          </cell>
          <cell r="D85">
            <v>84</v>
          </cell>
        </row>
        <row r="86">
          <cell r="C86" t="str">
            <v>ZONE-sh3m(-1)</v>
          </cell>
          <cell r="D86">
            <v>85</v>
          </cell>
        </row>
        <row r="87">
          <cell r="C87" t="str">
            <v>ZONE-stepup40(-1)</v>
          </cell>
          <cell r="D87">
            <v>86</v>
          </cell>
        </row>
        <row r="88">
          <cell r="C88" t="str">
            <v>ZONE-trump(-1)</v>
          </cell>
          <cell r="D88">
            <v>87</v>
          </cell>
        </row>
        <row r="89">
          <cell r="C89" t="str">
            <v>ZONE-vola20d(-1)</v>
          </cell>
          <cell r="D89">
            <v>88</v>
          </cell>
        </row>
        <row r="90">
          <cell r="C90" t="str">
            <v>ZONE-rank(-1)</v>
          </cell>
          <cell r="D90">
            <v>89</v>
          </cell>
        </row>
        <row r="91">
          <cell r="C91" t="str">
            <v>ZONE-median_30d(-1)</v>
          </cell>
          <cell r="D91">
            <v>90</v>
          </cell>
        </row>
        <row r="92">
          <cell r="C92" t="str">
            <v>ZONE-spr100d(-1)</v>
          </cell>
          <cell r="D92">
            <v>91</v>
          </cell>
        </row>
        <row r="93">
          <cell r="C93" t="str">
            <v>FKgrade-rsi(-1)</v>
          </cell>
          <cell r="D93">
            <v>92</v>
          </cell>
        </row>
        <row r="94">
          <cell r="C94" t="str">
            <v>FKgrade-beta3m(-1)</v>
          </cell>
          <cell r="D94">
            <v>93</v>
          </cell>
        </row>
        <row r="95">
          <cell r="C95" t="str">
            <v>FKgrade-PdivMA20(-1)</v>
          </cell>
          <cell r="D95">
            <v>94</v>
          </cell>
        </row>
        <row r="96">
          <cell r="C96" t="str">
            <v>FKgrade-per20d(-1)</v>
          </cell>
          <cell r="D96">
            <v>95</v>
          </cell>
        </row>
        <row r="97">
          <cell r="C97" t="str">
            <v>FKgrade-quot1020(-1)</v>
          </cell>
          <cell r="D97">
            <v>96</v>
          </cell>
        </row>
        <row r="98">
          <cell r="C98" t="str">
            <v>FKgrade-quot2050(-1)</v>
          </cell>
          <cell r="D98">
            <v>97</v>
          </cell>
        </row>
        <row r="99">
          <cell r="C99" t="str">
            <v>FKgrade-sh3m(-1)</v>
          </cell>
          <cell r="D99">
            <v>98</v>
          </cell>
        </row>
        <row r="100">
          <cell r="C100" t="str">
            <v>FKgrade-stepup40(-1)</v>
          </cell>
          <cell r="D100">
            <v>99</v>
          </cell>
        </row>
        <row r="101">
          <cell r="C101" t="str">
            <v>FKgrade-trump(-1)</v>
          </cell>
          <cell r="D101">
            <v>100</v>
          </cell>
        </row>
        <row r="102">
          <cell r="C102" t="str">
            <v>FKgrade-vola20d(-1)</v>
          </cell>
          <cell r="D102">
            <v>101</v>
          </cell>
        </row>
        <row r="103">
          <cell r="C103" t="str">
            <v>FKgrade-rank(-1)</v>
          </cell>
          <cell r="D103">
            <v>102</v>
          </cell>
        </row>
        <row r="104">
          <cell r="C104" t="str">
            <v>FKgrade-median_30d(-1)</v>
          </cell>
          <cell r="D104">
            <v>103</v>
          </cell>
        </row>
        <row r="105">
          <cell r="C105" t="str">
            <v>FKgrade-spr100d(-1)</v>
          </cell>
          <cell r="D105">
            <v>104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7.5703125" customWidth="1"/>
    <col min="2" max="2" width="8.85546875" customWidth="1"/>
    <col min="3" max="4" width="18" customWidth="1"/>
    <col min="5" max="5" width="39.140625" customWidth="1"/>
    <col min="6" max="6" width="7.140625" customWidth="1"/>
    <col min="7" max="7" width="18.7109375" customWidth="1"/>
    <col min="8" max="16" width="18" customWidth="1"/>
    <col min="17" max="17" width="10.5703125" customWidth="1"/>
    <col min="18" max="20" width="18" customWidth="1"/>
    <col min="21" max="21" width="48.42578125" customWidth="1"/>
    <col min="22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A2" t="s">
        <v>109</v>
      </c>
      <c r="B2" t="s">
        <v>23</v>
      </c>
      <c r="C2" t="str">
        <f t="shared" ref="C2:C8" si="0">"GICS-"&amp;I2&amp;"("&amp;Q2&amp;")"</f>
        <v>GICS-rsi(1)</v>
      </c>
      <c r="D2" t="str">
        <f>IF(ISNA(HLOOKUP(C2,Run1_data!$C$1:$AF$34,1,0)),"","Run1")</f>
        <v/>
      </c>
      <c r="E2" t="s">
        <v>24</v>
      </c>
      <c r="F2" t="s">
        <v>25</v>
      </c>
      <c r="I2" t="s">
        <v>26</v>
      </c>
      <c r="J2" t="s">
        <v>27</v>
      </c>
      <c r="K2">
        <v>0.1</v>
      </c>
      <c r="L2">
        <v>10</v>
      </c>
      <c r="M2">
        <v>3</v>
      </c>
      <c r="O2" t="s">
        <v>26</v>
      </c>
      <c r="P2" t="s">
        <v>27</v>
      </c>
      <c r="Q2">
        <v>1</v>
      </c>
      <c r="R2">
        <v>5</v>
      </c>
      <c r="S2">
        <v>20</v>
      </c>
      <c r="T2">
        <v>0</v>
      </c>
      <c r="U2" t="s">
        <v>112</v>
      </c>
      <c r="V2">
        <v>0</v>
      </c>
    </row>
    <row r="3" spans="1:23" x14ac:dyDescent="0.25">
      <c r="A3" t="s">
        <v>109</v>
      </c>
      <c r="B3" t="s">
        <v>23</v>
      </c>
      <c r="C3" t="str">
        <f t="shared" si="0"/>
        <v>GICS-beta3m(1)</v>
      </c>
      <c r="D3" t="str">
        <f>IF(ISNA(HLOOKUP(C3,Run1_data!$C$1:$AF$34,1,0)),"","Run1")</f>
        <v/>
      </c>
      <c r="E3" t="s">
        <v>24</v>
      </c>
      <c r="F3" t="s">
        <v>25</v>
      </c>
      <c r="I3" t="s">
        <v>101</v>
      </c>
      <c r="J3" t="s">
        <v>27</v>
      </c>
      <c r="K3">
        <v>0.1</v>
      </c>
      <c r="L3">
        <v>10</v>
      </c>
      <c r="M3">
        <v>3</v>
      </c>
      <c r="O3" t="s">
        <v>26</v>
      </c>
      <c r="P3" t="s">
        <v>27</v>
      </c>
      <c r="Q3">
        <v>1</v>
      </c>
      <c r="R3">
        <v>5</v>
      </c>
      <c r="S3">
        <v>20</v>
      </c>
      <c r="T3">
        <v>0</v>
      </c>
      <c r="U3" t="s">
        <v>112</v>
      </c>
      <c r="V3">
        <v>0</v>
      </c>
    </row>
    <row r="4" spans="1:23" x14ac:dyDescent="0.25">
      <c r="A4" t="s">
        <v>109</v>
      </c>
      <c r="B4" t="s">
        <v>23</v>
      </c>
      <c r="C4" t="str">
        <f t="shared" si="0"/>
        <v>GICS-PdivMA20(1)</v>
      </c>
      <c r="D4" t="str">
        <f>IF(ISNA(HLOOKUP(C4,Run1_data!$C$1:$AF$34,1,0)),"","Run1")</f>
        <v/>
      </c>
      <c r="E4" t="s">
        <v>24</v>
      </c>
      <c r="F4" t="s">
        <v>25</v>
      </c>
      <c r="I4" t="s">
        <v>102</v>
      </c>
      <c r="J4" t="s">
        <v>27</v>
      </c>
      <c r="K4">
        <v>0.1</v>
      </c>
      <c r="L4">
        <v>10</v>
      </c>
      <c r="M4">
        <v>3</v>
      </c>
      <c r="O4" t="s">
        <v>26</v>
      </c>
      <c r="P4" t="s">
        <v>27</v>
      </c>
      <c r="Q4">
        <v>1</v>
      </c>
      <c r="R4">
        <v>5</v>
      </c>
      <c r="S4">
        <v>20</v>
      </c>
      <c r="T4">
        <v>0</v>
      </c>
      <c r="U4" t="s">
        <v>112</v>
      </c>
      <c r="V4">
        <v>0</v>
      </c>
    </row>
    <row r="5" spans="1:23" x14ac:dyDescent="0.25">
      <c r="A5" t="s">
        <v>109</v>
      </c>
      <c r="B5" t="s">
        <v>23</v>
      </c>
      <c r="C5" t="str">
        <f t="shared" si="0"/>
        <v>GICS-sh3m(1)</v>
      </c>
      <c r="D5" t="str">
        <f>IF(ISNA(HLOOKUP(C5,Run1_data!$C$1:$AF$34,1,0)),"","Run1")</f>
        <v/>
      </c>
      <c r="E5" t="s">
        <v>24</v>
      </c>
      <c r="F5" t="s">
        <v>25</v>
      </c>
      <c r="I5" t="s">
        <v>106</v>
      </c>
      <c r="J5" t="s">
        <v>27</v>
      </c>
      <c r="K5">
        <v>0.1</v>
      </c>
      <c r="L5">
        <v>10</v>
      </c>
      <c r="M5">
        <v>3</v>
      </c>
      <c r="O5" t="s">
        <v>26</v>
      </c>
      <c r="P5" t="s">
        <v>27</v>
      </c>
      <c r="Q5">
        <v>1</v>
      </c>
      <c r="R5">
        <v>5</v>
      </c>
      <c r="S5">
        <v>20</v>
      </c>
      <c r="T5">
        <v>0</v>
      </c>
      <c r="U5" t="s">
        <v>112</v>
      </c>
      <c r="V5">
        <v>0</v>
      </c>
    </row>
    <row r="6" spans="1:23" x14ac:dyDescent="0.25">
      <c r="A6" t="s">
        <v>109</v>
      </c>
      <c r="B6" t="s">
        <v>23</v>
      </c>
      <c r="C6" t="str">
        <f t="shared" si="0"/>
        <v>GICS-trump(1)</v>
      </c>
      <c r="D6" t="str">
        <f>IF(ISNA(HLOOKUP(C6,Run1_data!$C$1:$AF$34,1,0)),"","Run1")</f>
        <v/>
      </c>
      <c r="E6" t="s">
        <v>24</v>
      </c>
      <c r="F6" t="s">
        <v>25</v>
      </c>
      <c r="I6" t="s">
        <v>107</v>
      </c>
      <c r="J6" t="s">
        <v>27</v>
      </c>
      <c r="K6">
        <v>0.1</v>
      </c>
      <c r="L6">
        <v>10</v>
      </c>
      <c r="M6">
        <v>3</v>
      </c>
      <c r="O6" t="s">
        <v>26</v>
      </c>
      <c r="P6" t="s">
        <v>27</v>
      </c>
      <c r="Q6">
        <v>1</v>
      </c>
      <c r="R6">
        <v>5</v>
      </c>
      <c r="S6">
        <v>20</v>
      </c>
      <c r="T6">
        <v>0</v>
      </c>
      <c r="U6" t="s">
        <v>112</v>
      </c>
      <c r="V6">
        <v>0</v>
      </c>
    </row>
    <row r="7" spans="1:23" x14ac:dyDescent="0.25">
      <c r="A7" t="s">
        <v>109</v>
      </c>
      <c r="B7" t="s">
        <v>23</v>
      </c>
      <c r="C7" t="str">
        <f t="shared" si="0"/>
        <v>GICS-rank(1)</v>
      </c>
      <c r="D7" t="str">
        <f>IF(ISNA(HLOOKUP(C7,Run1_data!$C$1:$AF$34,1,0)),"","Run1")</f>
        <v/>
      </c>
      <c r="E7" t="s">
        <v>24</v>
      </c>
      <c r="F7" t="s">
        <v>25</v>
      </c>
      <c r="I7" t="s">
        <v>28</v>
      </c>
      <c r="J7" t="s">
        <v>29</v>
      </c>
      <c r="K7">
        <v>0.1</v>
      </c>
      <c r="L7">
        <v>10</v>
      </c>
      <c r="M7">
        <v>3</v>
      </c>
      <c r="O7" t="s">
        <v>26</v>
      </c>
      <c r="P7" t="s">
        <v>27</v>
      </c>
      <c r="Q7">
        <v>1</v>
      </c>
      <c r="R7">
        <v>5</v>
      </c>
      <c r="S7">
        <v>20</v>
      </c>
      <c r="T7">
        <v>0</v>
      </c>
      <c r="U7" t="s">
        <v>112</v>
      </c>
      <c r="V7">
        <v>0</v>
      </c>
    </row>
    <row r="8" spans="1:23" x14ac:dyDescent="0.25">
      <c r="A8" t="s">
        <v>109</v>
      </c>
      <c r="B8" t="s">
        <v>23</v>
      </c>
      <c r="C8" t="str">
        <f t="shared" si="0"/>
        <v>GICS-spr100d(1)</v>
      </c>
      <c r="D8" t="str">
        <f>IF(ISNA(HLOOKUP(C8,Run1_data!$C$1:$AF$34,1,0)),"","Run1")</f>
        <v/>
      </c>
      <c r="E8" t="s">
        <v>24</v>
      </c>
      <c r="F8" t="s">
        <v>25</v>
      </c>
      <c r="I8" t="s">
        <v>30</v>
      </c>
      <c r="J8" t="s">
        <v>29</v>
      </c>
      <c r="K8">
        <v>0.1</v>
      </c>
      <c r="L8">
        <v>10</v>
      </c>
      <c r="M8">
        <v>3</v>
      </c>
      <c r="O8" t="s">
        <v>26</v>
      </c>
      <c r="P8" t="s">
        <v>27</v>
      </c>
      <c r="Q8">
        <v>1</v>
      </c>
      <c r="R8">
        <v>5</v>
      </c>
      <c r="S8">
        <v>20</v>
      </c>
      <c r="T8">
        <v>0</v>
      </c>
      <c r="U8" t="s">
        <v>112</v>
      </c>
      <c r="V8">
        <v>0</v>
      </c>
    </row>
    <row r="9" spans="1:23" x14ac:dyDescent="0.25">
      <c r="A9" t="s">
        <v>109</v>
      </c>
      <c r="B9" t="s">
        <v>23</v>
      </c>
      <c r="C9" t="str">
        <f t="shared" ref="C9:C15" si="1">"GICSNY-"&amp;I9&amp;"("&amp;Q9&amp;")"</f>
        <v>GICSNY-rsi(1)</v>
      </c>
      <c r="D9" t="str">
        <f>IF(ISNA(HLOOKUP(C9,Run1_data!$C$1:$AF$34,1,0)),"","Run1")</f>
        <v/>
      </c>
      <c r="E9" s="9" t="s">
        <v>100</v>
      </c>
      <c r="F9" t="s">
        <v>25</v>
      </c>
      <c r="I9" t="s">
        <v>26</v>
      </c>
      <c r="J9" t="s">
        <v>27</v>
      </c>
      <c r="K9">
        <v>0.1</v>
      </c>
      <c r="L9">
        <v>10</v>
      </c>
      <c r="M9">
        <v>3</v>
      </c>
      <c r="O9" t="s">
        <v>26</v>
      </c>
      <c r="P9" t="s">
        <v>27</v>
      </c>
      <c r="Q9">
        <v>1</v>
      </c>
      <c r="R9">
        <v>5</v>
      </c>
      <c r="S9">
        <v>20</v>
      </c>
      <c r="T9">
        <v>0</v>
      </c>
      <c r="U9" t="s">
        <v>112</v>
      </c>
      <c r="V9">
        <v>0</v>
      </c>
    </row>
    <row r="10" spans="1:23" x14ac:dyDescent="0.25">
      <c r="A10" t="s">
        <v>109</v>
      </c>
      <c r="B10" t="s">
        <v>23</v>
      </c>
      <c r="C10" t="str">
        <f t="shared" si="1"/>
        <v>GICSNY-beta3m(1)</v>
      </c>
      <c r="D10" t="str">
        <f>IF(ISNA(HLOOKUP(C10,Run1_data!$C$1:$AF$34,1,0)),"","Run1")</f>
        <v/>
      </c>
      <c r="E10" s="9" t="s">
        <v>100</v>
      </c>
      <c r="F10" t="s">
        <v>25</v>
      </c>
      <c r="I10" t="s">
        <v>101</v>
      </c>
      <c r="J10" t="s">
        <v>27</v>
      </c>
      <c r="K10">
        <v>0.1</v>
      </c>
      <c r="L10">
        <v>10</v>
      </c>
      <c r="M10">
        <v>3</v>
      </c>
      <c r="O10" t="s">
        <v>26</v>
      </c>
      <c r="P10" t="s">
        <v>27</v>
      </c>
      <c r="Q10">
        <v>1</v>
      </c>
      <c r="R10">
        <v>5</v>
      </c>
      <c r="S10">
        <v>20</v>
      </c>
      <c r="T10">
        <v>0</v>
      </c>
      <c r="U10" t="s">
        <v>112</v>
      </c>
      <c r="V10">
        <v>0</v>
      </c>
    </row>
    <row r="11" spans="1:23" x14ac:dyDescent="0.25">
      <c r="A11" t="s">
        <v>109</v>
      </c>
      <c r="B11" t="s">
        <v>23</v>
      </c>
      <c r="C11" t="str">
        <f t="shared" si="1"/>
        <v>GICSNY-PdivMA20(1)</v>
      </c>
      <c r="D11" t="str">
        <f>IF(ISNA(HLOOKUP(C11,Run1_data!$C$1:$AF$34,1,0)),"","Run1")</f>
        <v/>
      </c>
      <c r="E11" s="9" t="s">
        <v>100</v>
      </c>
      <c r="F11" t="s">
        <v>25</v>
      </c>
      <c r="I11" t="s">
        <v>102</v>
      </c>
      <c r="J11" t="s">
        <v>27</v>
      </c>
      <c r="K11">
        <v>0.1</v>
      </c>
      <c r="L11">
        <v>10</v>
      </c>
      <c r="M11">
        <v>3</v>
      </c>
      <c r="O11" t="s">
        <v>26</v>
      </c>
      <c r="P11" t="s">
        <v>27</v>
      </c>
      <c r="Q11">
        <v>1</v>
      </c>
      <c r="R11">
        <v>5</v>
      </c>
      <c r="S11">
        <v>20</v>
      </c>
      <c r="T11">
        <v>0</v>
      </c>
      <c r="U11" t="s">
        <v>112</v>
      </c>
      <c r="V11">
        <v>0</v>
      </c>
    </row>
    <row r="12" spans="1:23" x14ac:dyDescent="0.25">
      <c r="A12" t="s">
        <v>109</v>
      </c>
      <c r="B12" t="s">
        <v>23</v>
      </c>
      <c r="C12" t="str">
        <f t="shared" si="1"/>
        <v>GICSNY-sh3m(1)</v>
      </c>
      <c r="D12" t="str">
        <f>IF(ISNA(HLOOKUP(C12,Run1_data!$C$1:$AF$34,1,0)),"","Run1")</f>
        <v/>
      </c>
      <c r="E12" s="9" t="s">
        <v>100</v>
      </c>
      <c r="F12" t="s">
        <v>25</v>
      </c>
      <c r="I12" t="s">
        <v>106</v>
      </c>
      <c r="J12" t="s">
        <v>27</v>
      </c>
      <c r="K12">
        <v>0.1</v>
      </c>
      <c r="L12">
        <v>10</v>
      </c>
      <c r="M12">
        <v>3</v>
      </c>
      <c r="O12" t="s">
        <v>26</v>
      </c>
      <c r="P12" t="s">
        <v>27</v>
      </c>
      <c r="Q12">
        <v>1</v>
      </c>
      <c r="R12">
        <v>5</v>
      </c>
      <c r="S12">
        <v>20</v>
      </c>
      <c r="T12">
        <v>0</v>
      </c>
      <c r="U12" t="s">
        <v>112</v>
      </c>
      <c r="V12">
        <v>0</v>
      </c>
    </row>
    <row r="13" spans="1:23" x14ac:dyDescent="0.25">
      <c r="A13" t="s">
        <v>109</v>
      </c>
      <c r="B13" t="s">
        <v>23</v>
      </c>
      <c r="C13" t="str">
        <f t="shared" si="1"/>
        <v>GICSNY-vola20d(1)</v>
      </c>
      <c r="D13" t="str">
        <f>IF(ISNA(HLOOKUP(C13,Run1_data!$C$1:$AF$34,1,0)),"","Run1")</f>
        <v/>
      </c>
      <c r="E13" s="9" t="s">
        <v>100</v>
      </c>
      <c r="F13" t="s">
        <v>25</v>
      </c>
      <c r="I13" t="s">
        <v>113</v>
      </c>
      <c r="J13" t="s">
        <v>27</v>
      </c>
      <c r="K13">
        <v>0.1</v>
      </c>
      <c r="L13">
        <v>10</v>
      </c>
      <c r="M13">
        <v>3</v>
      </c>
      <c r="O13" t="s">
        <v>26</v>
      </c>
      <c r="P13" t="s">
        <v>27</v>
      </c>
      <c r="Q13">
        <v>1</v>
      </c>
      <c r="R13">
        <v>5</v>
      </c>
      <c r="S13">
        <v>20</v>
      </c>
      <c r="T13">
        <v>0</v>
      </c>
      <c r="U13" t="s">
        <v>112</v>
      </c>
      <c r="V13">
        <v>0</v>
      </c>
    </row>
    <row r="14" spans="1:23" x14ac:dyDescent="0.25">
      <c r="A14" t="s">
        <v>109</v>
      </c>
      <c r="B14" t="s">
        <v>23</v>
      </c>
      <c r="C14" t="str">
        <f t="shared" si="1"/>
        <v>GICSNY-rank(1)</v>
      </c>
      <c r="D14" t="str">
        <f>IF(ISNA(HLOOKUP(C14,Run1_data!$C$1:$AF$34,1,0)),"","Run1")</f>
        <v/>
      </c>
      <c r="E14" s="9" t="s">
        <v>100</v>
      </c>
      <c r="F14" t="s">
        <v>25</v>
      </c>
      <c r="I14" t="s">
        <v>28</v>
      </c>
      <c r="J14" t="s">
        <v>29</v>
      </c>
      <c r="K14">
        <v>0.1</v>
      </c>
      <c r="L14">
        <v>10</v>
      </c>
      <c r="M14">
        <v>3</v>
      </c>
      <c r="O14" t="s">
        <v>26</v>
      </c>
      <c r="P14" t="s">
        <v>27</v>
      </c>
      <c r="Q14">
        <v>1</v>
      </c>
      <c r="R14">
        <v>5</v>
      </c>
      <c r="S14">
        <v>20</v>
      </c>
      <c r="T14">
        <v>0</v>
      </c>
      <c r="U14" t="s">
        <v>112</v>
      </c>
      <c r="V14">
        <v>0</v>
      </c>
    </row>
    <row r="15" spans="1:23" x14ac:dyDescent="0.25">
      <c r="A15" t="s">
        <v>109</v>
      </c>
      <c r="B15" t="s">
        <v>23</v>
      </c>
      <c r="C15" t="str">
        <f t="shared" si="1"/>
        <v>GICSNY-spr100d(1)</v>
      </c>
      <c r="D15" t="str">
        <f>IF(ISNA(HLOOKUP(C15,Run1_data!$C$1:$AF$34,1,0)),"","Run1")</f>
        <v/>
      </c>
      <c r="E15" s="9" t="s">
        <v>100</v>
      </c>
      <c r="F15" t="s">
        <v>25</v>
      </c>
      <c r="I15" t="s">
        <v>30</v>
      </c>
      <c r="J15" t="s">
        <v>29</v>
      </c>
      <c r="K15">
        <v>0.1</v>
      </c>
      <c r="L15">
        <v>10</v>
      </c>
      <c r="M15">
        <v>3</v>
      </c>
      <c r="O15" t="s">
        <v>26</v>
      </c>
      <c r="P15" t="s">
        <v>27</v>
      </c>
      <c r="Q15">
        <v>1</v>
      </c>
      <c r="R15">
        <v>5</v>
      </c>
      <c r="S15">
        <v>20</v>
      </c>
      <c r="T15">
        <v>0</v>
      </c>
      <c r="U15" t="s">
        <v>112</v>
      </c>
      <c r="V15">
        <v>0</v>
      </c>
    </row>
    <row r="16" spans="1:23" x14ac:dyDescent="0.25">
      <c r="A16" t="s">
        <v>109</v>
      </c>
      <c r="B16" t="s">
        <v>23</v>
      </c>
      <c r="C16" t="str">
        <f>"ZONE-"&amp;I16&amp;"("&amp;Q16&amp;")"</f>
        <v>ZONE-quot2050(1)</v>
      </c>
      <c r="D16" t="str">
        <f>IF(ISNA(HLOOKUP(C16,Run1_data!$C$1:$AF$34,1,0)),"","Run1")</f>
        <v/>
      </c>
      <c r="E16" t="s">
        <v>110</v>
      </c>
      <c r="F16" t="s">
        <v>25</v>
      </c>
      <c r="I16" t="s">
        <v>105</v>
      </c>
      <c r="J16" t="s">
        <v>27</v>
      </c>
      <c r="K16">
        <v>0.1</v>
      </c>
      <c r="L16">
        <v>10</v>
      </c>
      <c r="M16">
        <v>3</v>
      </c>
      <c r="O16" t="s">
        <v>26</v>
      </c>
      <c r="P16" t="s">
        <v>27</v>
      </c>
      <c r="Q16">
        <v>1</v>
      </c>
      <c r="R16">
        <v>5</v>
      </c>
      <c r="S16">
        <v>20</v>
      </c>
      <c r="T16">
        <v>0</v>
      </c>
      <c r="U16" t="s">
        <v>112</v>
      </c>
      <c r="V16">
        <v>0</v>
      </c>
    </row>
    <row r="17" spans="1:22" x14ac:dyDescent="0.25">
      <c r="A17" t="s">
        <v>109</v>
      </c>
      <c r="B17" t="s">
        <v>23</v>
      </c>
      <c r="C17" t="str">
        <f>"ZONE-"&amp;I17&amp;"("&amp;Q17&amp;")"</f>
        <v>ZONE-sh3m(1)</v>
      </c>
      <c r="D17" t="str">
        <f>IF(ISNA(HLOOKUP(C17,Run1_data!$C$1:$AF$34,1,0)),"","Run1")</f>
        <v/>
      </c>
      <c r="E17" t="s">
        <v>110</v>
      </c>
      <c r="F17" t="s">
        <v>25</v>
      </c>
      <c r="I17" t="s">
        <v>106</v>
      </c>
      <c r="J17" t="s">
        <v>27</v>
      </c>
      <c r="K17">
        <v>0.1</v>
      </c>
      <c r="L17">
        <v>10</v>
      </c>
      <c r="M17">
        <v>3</v>
      </c>
      <c r="O17" t="s">
        <v>26</v>
      </c>
      <c r="P17" t="s">
        <v>27</v>
      </c>
      <c r="Q17">
        <v>1</v>
      </c>
      <c r="R17">
        <v>5</v>
      </c>
      <c r="S17">
        <v>20</v>
      </c>
      <c r="T17">
        <v>0</v>
      </c>
      <c r="U17" t="s">
        <v>112</v>
      </c>
      <c r="V17">
        <v>0</v>
      </c>
    </row>
    <row r="18" spans="1:22" x14ac:dyDescent="0.25">
      <c r="A18" t="s">
        <v>109</v>
      </c>
      <c r="B18" t="s">
        <v>23</v>
      </c>
      <c r="C18" t="str">
        <f>"ZONE-"&amp;I18&amp;"("&amp;Q18&amp;")"</f>
        <v>ZONE-trump(1)</v>
      </c>
      <c r="D18" t="str">
        <f>IF(ISNA(HLOOKUP(C18,Run1_data!$C$1:$AF$34,1,0)),"","Run1")</f>
        <v/>
      </c>
      <c r="E18" t="s">
        <v>110</v>
      </c>
      <c r="F18" t="s">
        <v>25</v>
      </c>
      <c r="I18" t="s">
        <v>107</v>
      </c>
      <c r="J18" t="s">
        <v>27</v>
      </c>
      <c r="K18">
        <v>0.1</v>
      </c>
      <c r="L18">
        <v>10</v>
      </c>
      <c r="M18">
        <v>3</v>
      </c>
      <c r="O18" t="s">
        <v>26</v>
      </c>
      <c r="P18" t="s">
        <v>27</v>
      </c>
      <c r="Q18">
        <v>1</v>
      </c>
      <c r="R18">
        <v>5</v>
      </c>
      <c r="S18">
        <v>20</v>
      </c>
      <c r="T18">
        <v>0</v>
      </c>
      <c r="U18" t="s">
        <v>112</v>
      </c>
      <c r="V18">
        <v>0</v>
      </c>
    </row>
    <row r="19" spans="1:22" x14ac:dyDescent="0.25">
      <c r="A19" t="s">
        <v>109</v>
      </c>
      <c r="B19" t="s">
        <v>23</v>
      </c>
      <c r="C19" t="str">
        <f>"ZONE-"&amp;I19&amp;"("&amp;Q19&amp;")"</f>
        <v>ZONE-spr100d(1)</v>
      </c>
      <c r="D19" t="str">
        <f>IF(ISNA(HLOOKUP(C19,Run1_data!$C$1:$AF$34,1,0)),"","Run1")</f>
        <v/>
      </c>
      <c r="E19" t="s">
        <v>110</v>
      </c>
      <c r="F19" t="s">
        <v>25</v>
      </c>
      <c r="I19" t="s">
        <v>30</v>
      </c>
      <c r="J19" t="s">
        <v>29</v>
      </c>
      <c r="K19">
        <v>0.1</v>
      </c>
      <c r="L19">
        <v>10</v>
      </c>
      <c r="M19">
        <v>3</v>
      </c>
      <c r="O19" t="s">
        <v>26</v>
      </c>
      <c r="P19" t="s">
        <v>27</v>
      </c>
      <c r="Q19">
        <v>1</v>
      </c>
      <c r="R19">
        <v>5</v>
      </c>
      <c r="S19">
        <v>20</v>
      </c>
      <c r="T19">
        <v>0</v>
      </c>
      <c r="U19" t="s">
        <v>112</v>
      </c>
      <c r="V19">
        <v>0</v>
      </c>
    </row>
    <row r="20" spans="1:22" x14ac:dyDescent="0.25">
      <c r="A20" t="s">
        <v>109</v>
      </c>
      <c r="B20" t="s">
        <v>23</v>
      </c>
      <c r="C20" t="str">
        <f t="shared" ref="C20:C31" si="2">"FKgrade-"&amp;I20&amp;"("&amp;Q20&amp;")"</f>
        <v>FKgrade-rsi(1)</v>
      </c>
      <c r="D20" t="str">
        <f>IF(ISNA(HLOOKUP(C20,Run1_data!$C$1:$AF$34,1,0)),"","Run1")</f>
        <v/>
      </c>
      <c r="E20" s="10" t="s">
        <v>111</v>
      </c>
      <c r="F20" t="s">
        <v>25</v>
      </c>
      <c r="I20" t="s">
        <v>26</v>
      </c>
      <c r="J20" t="s">
        <v>27</v>
      </c>
      <c r="K20">
        <v>0.1</v>
      </c>
      <c r="L20">
        <v>10</v>
      </c>
      <c r="M20">
        <v>3</v>
      </c>
      <c r="O20" t="s">
        <v>26</v>
      </c>
      <c r="P20" t="s">
        <v>27</v>
      </c>
      <c r="Q20">
        <v>1</v>
      </c>
      <c r="R20">
        <v>5</v>
      </c>
      <c r="S20">
        <v>20</v>
      </c>
      <c r="T20">
        <v>0</v>
      </c>
      <c r="U20" t="s">
        <v>112</v>
      </c>
      <c r="V20">
        <v>0</v>
      </c>
    </row>
    <row r="21" spans="1:22" x14ac:dyDescent="0.25">
      <c r="A21" t="s">
        <v>109</v>
      </c>
      <c r="B21" t="s">
        <v>23</v>
      </c>
      <c r="C21" t="str">
        <f t="shared" si="2"/>
        <v>FKgrade-beta3m(1)</v>
      </c>
      <c r="D21" t="str">
        <f>IF(ISNA(HLOOKUP(C21,Run1_data!$C$1:$AF$34,1,0)),"","Run1")</f>
        <v/>
      </c>
      <c r="E21" s="10" t="s">
        <v>111</v>
      </c>
      <c r="F21" t="s">
        <v>25</v>
      </c>
      <c r="I21" t="s">
        <v>101</v>
      </c>
      <c r="J21" t="s">
        <v>27</v>
      </c>
      <c r="K21">
        <v>0.1</v>
      </c>
      <c r="L21">
        <v>10</v>
      </c>
      <c r="M21">
        <v>3</v>
      </c>
      <c r="O21" t="s">
        <v>26</v>
      </c>
      <c r="P21" t="s">
        <v>27</v>
      </c>
      <c r="Q21">
        <v>1</v>
      </c>
      <c r="R21">
        <v>5</v>
      </c>
      <c r="S21">
        <v>20</v>
      </c>
      <c r="T21">
        <v>0</v>
      </c>
      <c r="U21" t="s">
        <v>112</v>
      </c>
      <c r="V21">
        <v>0</v>
      </c>
    </row>
    <row r="22" spans="1:22" x14ac:dyDescent="0.25">
      <c r="A22" t="s">
        <v>109</v>
      </c>
      <c r="B22" t="s">
        <v>23</v>
      </c>
      <c r="C22" t="str">
        <f t="shared" si="2"/>
        <v>FKgrade-PdivMA20(1)</v>
      </c>
      <c r="D22" t="str">
        <f>IF(ISNA(HLOOKUP(C22,Run1_data!$C$1:$AF$34,1,0)),"","Run1")</f>
        <v/>
      </c>
      <c r="E22" s="10" t="s">
        <v>111</v>
      </c>
      <c r="F22" t="s">
        <v>25</v>
      </c>
      <c r="I22" t="s">
        <v>102</v>
      </c>
      <c r="J22" t="s">
        <v>27</v>
      </c>
      <c r="K22">
        <v>0.1</v>
      </c>
      <c r="L22">
        <v>10</v>
      </c>
      <c r="M22">
        <v>3</v>
      </c>
      <c r="O22" t="s">
        <v>26</v>
      </c>
      <c r="P22" t="s">
        <v>27</v>
      </c>
      <c r="Q22">
        <v>1</v>
      </c>
      <c r="R22">
        <v>5</v>
      </c>
      <c r="S22">
        <v>20</v>
      </c>
      <c r="T22">
        <v>0</v>
      </c>
      <c r="U22" t="s">
        <v>112</v>
      </c>
      <c r="V22">
        <v>0</v>
      </c>
    </row>
    <row r="23" spans="1:22" x14ac:dyDescent="0.25">
      <c r="A23" t="s">
        <v>109</v>
      </c>
      <c r="B23" t="s">
        <v>23</v>
      </c>
      <c r="C23" t="str">
        <f t="shared" si="2"/>
        <v>FKgrade-per20d(1)</v>
      </c>
      <c r="D23" t="str">
        <f>IF(ISNA(HLOOKUP(C23,Run1_data!$C$1:$AF$34,1,0)),"","Run1")</f>
        <v/>
      </c>
      <c r="E23" s="10" t="s">
        <v>111</v>
      </c>
      <c r="F23" t="s">
        <v>25</v>
      </c>
      <c r="I23" t="s">
        <v>103</v>
      </c>
      <c r="J23" t="s">
        <v>27</v>
      </c>
      <c r="K23">
        <v>0.1</v>
      </c>
      <c r="L23">
        <v>10</v>
      </c>
      <c r="M23">
        <v>3</v>
      </c>
      <c r="O23" t="s">
        <v>26</v>
      </c>
      <c r="P23" t="s">
        <v>27</v>
      </c>
      <c r="Q23">
        <v>1</v>
      </c>
      <c r="R23">
        <v>5</v>
      </c>
      <c r="S23">
        <v>20</v>
      </c>
      <c r="T23">
        <v>0</v>
      </c>
      <c r="U23" t="s">
        <v>112</v>
      </c>
      <c r="V23">
        <v>0</v>
      </c>
    </row>
    <row r="24" spans="1:22" x14ac:dyDescent="0.25">
      <c r="A24" t="s">
        <v>109</v>
      </c>
      <c r="B24" t="s">
        <v>23</v>
      </c>
      <c r="C24" t="str">
        <f t="shared" si="2"/>
        <v>FKgrade-quot1020(1)</v>
      </c>
      <c r="D24" t="str">
        <f>IF(ISNA(HLOOKUP(C24,Run1_data!$C$1:$AF$34,1,0)),"","Run1")</f>
        <v/>
      </c>
      <c r="E24" s="10" t="s">
        <v>111</v>
      </c>
      <c r="F24" t="s">
        <v>25</v>
      </c>
      <c r="I24" t="s">
        <v>104</v>
      </c>
      <c r="J24" t="s">
        <v>27</v>
      </c>
      <c r="K24">
        <v>0.1</v>
      </c>
      <c r="L24">
        <v>10</v>
      </c>
      <c r="M24">
        <v>3</v>
      </c>
      <c r="O24" t="s">
        <v>26</v>
      </c>
      <c r="P24" t="s">
        <v>27</v>
      </c>
      <c r="Q24">
        <v>1</v>
      </c>
      <c r="R24">
        <v>5</v>
      </c>
      <c r="S24">
        <v>20</v>
      </c>
      <c r="T24">
        <v>0</v>
      </c>
      <c r="U24" t="s">
        <v>112</v>
      </c>
      <c r="V24">
        <v>0</v>
      </c>
    </row>
    <row r="25" spans="1:22" x14ac:dyDescent="0.25">
      <c r="A25" t="s">
        <v>109</v>
      </c>
      <c r="B25" t="s">
        <v>23</v>
      </c>
      <c r="C25" t="str">
        <f t="shared" si="2"/>
        <v>FKgrade-quot2050(1)</v>
      </c>
      <c r="D25" t="str">
        <f>IF(ISNA(HLOOKUP(C25,Run1_data!$C$1:$AF$34,1,0)),"","Run1")</f>
        <v/>
      </c>
      <c r="E25" s="10" t="s">
        <v>111</v>
      </c>
      <c r="F25" t="s">
        <v>25</v>
      </c>
      <c r="I25" t="s">
        <v>105</v>
      </c>
      <c r="J25" t="s">
        <v>27</v>
      </c>
      <c r="K25">
        <v>0.1</v>
      </c>
      <c r="L25">
        <v>10</v>
      </c>
      <c r="M25">
        <v>3</v>
      </c>
      <c r="O25" t="s">
        <v>26</v>
      </c>
      <c r="P25" t="s">
        <v>27</v>
      </c>
      <c r="Q25">
        <v>1</v>
      </c>
      <c r="R25">
        <v>5</v>
      </c>
      <c r="S25">
        <v>20</v>
      </c>
      <c r="T25">
        <v>0</v>
      </c>
      <c r="U25" t="s">
        <v>112</v>
      </c>
      <c r="V25">
        <v>0</v>
      </c>
    </row>
    <row r="26" spans="1:22" x14ac:dyDescent="0.25">
      <c r="A26" t="s">
        <v>109</v>
      </c>
      <c r="B26" t="s">
        <v>23</v>
      </c>
      <c r="C26" t="str">
        <f t="shared" si="2"/>
        <v>FKgrade-sh3m(1)</v>
      </c>
      <c r="D26" t="str">
        <f>IF(ISNA(HLOOKUP(C26,Run1_data!$C$1:$AF$34,1,0)),"","Run1")</f>
        <v/>
      </c>
      <c r="E26" s="10" t="s">
        <v>111</v>
      </c>
      <c r="F26" t="s">
        <v>25</v>
      </c>
      <c r="I26" t="s">
        <v>106</v>
      </c>
      <c r="J26" t="s">
        <v>27</v>
      </c>
      <c r="K26">
        <v>0.1</v>
      </c>
      <c r="L26">
        <v>10</v>
      </c>
      <c r="M26">
        <v>3</v>
      </c>
      <c r="O26" t="s">
        <v>26</v>
      </c>
      <c r="P26" t="s">
        <v>27</v>
      </c>
      <c r="Q26">
        <v>1</v>
      </c>
      <c r="R26">
        <v>5</v>
      </c>
      <c r="S26">
        <v>20</v>
      </c>
      <c r="T26">
        <v>0</v>
      </c>
      <c r="U26" t="s">
        <v>112</v>
      </c>
      <c r="V26">
        <v>0</v>
      </c>
    </row>
    <row r="27" spans="1:22" x14ac:dyDescent="0.25">
      <c r="A27" t="s">
        <v>109</v>
      </c>
      <c r="B27" t="s">
        <v>23</v>
      </c>
      <c r="C27" t="str">
        <f t="shared" si="2"/>
        <v>FKgrade-trump(1)</v>
      </c>
      <c r="D27" t="str">
        <f>IF(ISNA(HLOOKUP(C27,Run1_data!$C$1:$AF$34,1,0)),"","Run1")</f>
        <v/>
      </c>
      <c r="E27" s="10" t="s">
        <v>111</v>
      </c>
      <c r="F27" t="s">
        <v>25</v>
      </c>
      <c r="I27" t="s">
        <v>107</v>
      </c>
      <c r="J27" t="s">
        <v>27</v>
      </c>
      <c r="K27">
        <v>0.1</v>
      </c>
      <c r="L27">
        <v>10</v>
      </c>
      <c r="M27">
        <v>3</v>
      </c>
      <c r="O27" t="s">
        <v>26</v>
      </c>
      <c r="P27" t="s">
        <v>27</v>
      </c>
      <c r="Q27">
        <v>1</v>
      </c>
      <c r="R27">
        <v>5</v>
      </c>
      <c r="S27">
        <v>20</v>
      </c>
      <c r="T27">
        <v>0</v>
      </c>
      <c r="U27" t="s">
        <v>112</v>
      </c>
      <c r="V27">
        <v>0</v>
      </c>
    </row>
    <row r="28" spans="1:22" x14ac:dyDescent="0.25">
      <c r="A28" t="s">
        <v>109</v>
      </c>
      <c r="B28" t="s">
        <v>23</v>
      </c>
      <c r="C28" t="str">
        <f t="shared" si="2"/>
        <v>FKgrade-vola20d(1)</v>
      </c>
      <c r="D28" t="str">
        <f>IF(ISNA(HLOOKUP(C28,Run1_data!$C$1:$AF$34,1,0)),"","Run1")</f>
        <v/>
      </c>
      <c r="E28" s="10" t="s">
        <v>111</v>
      </c>
      <c r="F28" t="s">
        <v>25</v>
      </c>
      <c r="I28" t="s">
        <v>113</v>
      </c>
      <c r="J28" t="s">
        <v>27</v>
      </c>
      <c r="K28">
        <v>0.1</v>
      </c>
      <c r="L28">
        <v>10</v>
      </c>
      <c r="M28">
        <v>3</v>
      </c>
      <c r="O28" t="s">
        <v>26</v>
      </c>
      <c r="P28" t="s">
        <v>27</v>
      </c>
      <c r="Q28">
        <v>1</v>
      </c>
      <c r="R28">
        <v>5</v>
      </c>
      <c r="S28">
        <v>20</v>
      </c>
      <c r="T28">
        <v>0</v>
      </c>
      <c r="U28" t="s">
        <v>112</v>
      </c>
      <c r="V28">
        <v>0</v>
      </c>
    </row>
    <row r="29" spans="1:22" x14ac:dyDescent="0.25">
      <c r="A29" t="s">
        <v>109</v>
      </c>
      <c r="B29" t="s">
        <v>23</v>
      </c>
      <c r="C29" t="str">
        <f t="shared" si="2"/>
        <v>FKgrade-rank(1)</v>
      </c>
      <c r="D29" t="str">
        <f>IF(ISNA(HLOOKUP(C29,Run1_data!$C$1:$AF$34,1,0)),"","Run1")</f>
        <v/>
      </c>
      <c r="E29" s="10" t="s">
        <v>111</v>
      </c>
      <c r="F29" t="s">
        <v>25</v>
      </c>
      <c r="I29" t="s">
        <v>28</v>
      </c>
      <c r="J29" t="s">
        <v>29</v>
      </c>
      <c r="K29">
        <v>0.1</v>
      </c>
      <c r="L29">
        <v>10</v>
      </c>
      <c r="M29">
        <v>3</v>
      </c>
      <c r="O29" t="s">
        <v>26</v>
      </c>
      <c r="P29" t="s">
        <v>27</v>
      </c>
      <c r="Q29">
        <v>1</v>
      </c>
      <c r="R29">
        <v>5</v>
      </c>
      <c r="S29">
        <v>20</v>
      </c>
      <c r="T29">
        <v>0</v>
      </c>
      <c r="U29" t="s">
        <v>112</v>
      </c>
      <c r="V29">
        <v>0</v>
      </c>
    </row>
    <row r="30" spans="1:22" x14ac:dyDescent="0.25">
      <c r="A30" t="s">
        <v>109</v>
      </c>
      <c r="B30" t="s">
        <v>23</v>
      </c>
      <c r="C30" t="str">
        <f t="shared" si="2"/>
        <v>FKgrade-median_30d(1)</v>
      </c>
      <c r="D30" t="str">
        <f>IF(ISNA(HLOOKUP(C30,Run1_data!$C$1:$AF$34,1,0)),"","Run1")</f>
        <v/>
      </c>
      <c r="E30" s="10" t="s">
        <v>111</v>
      </c>
      <c r="F30" t="s">
        <v>25</v>
      </c>
      <c r="I30" t="s">
        <v>108</v>
      </c>
      <c r="J30" t="s">
        <v>29</v>
      </c>
      <c r="K30">
        <v>0.1</v>
      </c>
      <c r="L30">
        <v>10</v>
      </c>
      <c r="M30">
        <v>3</v>
      </c>
      <c r="O30" t="s">
        <v>26</v>
      </c>
      <c r="P30" t="s">
        <v>27</v>
      </c>
      <c r="Q30">
        <v>1</v>
      </c>
      <c r="R30">
        <v>5</v>
      </c>
      <c r="S30">
        <v>20</v>
      </c>
      <c r="T30">
        <v>0</v>
      </c>
      <c r="U30" t="s">
        <v>112</v>
      </c>
      <c r="V30">
        <v>0</v>
      </c>
    </row>
    <row r="31" spans="1:22" x14ac:dyDescent="0.25">
      <c r="A31" t="s">
        <v>109</v>
      </c>
      <c r="B31" t="s">
        <v>23</v>
      </c>
      <c r="C31" t="str">
        <f t="shared" si="2"/>
        <v>FKgrade-spr100d(1)</v>
      </c>
      <c r="D31" t="str">
        <f>IF(ISNA(HLOOKUP(C31,Run1_data!$C$1:$AF$34,1,0)),"","Run1")</f>
        <v/>
      </c>
      <c r="E31" s="10" t="s">
        <v>111</v>
      </c>
      <c r="F31" t="s">
        <v>25</v>
      </c>
      <c r="I31" t="s">
        <v>30</v>
      </c>
      <c r="J31" t="s">
        <v>29</v>
      </c>
      <c r="K31">
        <v>0.1</v>
      </c>
      <c r="L31">
        <v>10</v>
      </c>
      <c r="M31">
        <v>3</v>
      </c>
      <c r="O31" t="s">
        <v>26</v>
      </c>
      <c r="P31" t="s">
        <v>27</v>
      </c>
      <c r="Q31">
        <v>1</v>
      </c>
      <c r="R31">
        <v>5</v>
      </c>
      <c r="S31">
        <v>20</v>
      </c>
      <c r="T31">
        <v>0</v>
      </c>
      <c r="U31" t="s">
        <v>112</v>
      </c>
      <c r="V31">
        <v>0</v>
      </c>
    </row>
    <row r="32" spans="1:22" x14ac:dyDescent="0.25">
      <c r="A32" t="s">
        <v>109</v>
      </c>
      <c r="B32" t="s">
        <v>23</v>
      </c>
      <c r="C32" t="str">
        <f t="shared" ref="C32:C38" si="3">"GICS-"&amp;I32&amp;"("&amp;Q32&amp;")"</f>
        <v>GICS-rsi(-1)</v>
      </c>
      <c r="D32" t="str">
        <f>IF(ISNA(HLOOKUP(C32,Run1_data!$C$1:$AF$34,1,0)),"","Run1")</f>
        <v>Run1</v>
      </c>
      <c r="E32" t="s">
        <v>24</v>
      </c>
      <c r="F32" t="s">
        <v>25</v>
      </c>
      <c r="I32" t="s">
        <v>26</v>
      </c>
      <c r="J32" t="s">
        <v>27</v>
      </c>
      <c r="K32">
        <v>0.1</v>
      </c>
      <c r="L32">
        <v>10</v>
      </c>
      <c r="M32">
        <v>3</v>
      </c>
      <c r="O32" t="s">
        <v>26</v>
      </c>
      <c r="P32" t="s">
        <v>27</v>
      </c>
      <c r="Q32">
        <v>-1</v>
      </c>
      <c r="R32">
        <v>5</v>
      </c>
      <c r="S32">
        <v>20</v>
      </c>
      <c r="T32">
        <v>0</v>
      </c>
      <c r="U32" t="s">
        <v>112</v>
      </c>
      <c r="V32">
        <v>0</v>
      </c>
    </row>
    <row r="33" spans="1:22" x14ac:dyDescent="0.25">
      <c r="A33" t="s">
        <v>109</v>
      </c>
      <c r="B33" t="s">
        <v>23</v>
      </c>
      <c r="C33" t="str">
        <f t="shared" si="3"/>
        <v>GICS-beta3m(-1)</v>
      </c>
      <c r="D33" t="str">
        <f>IF(ISNA(HLOOKUP(C33,Run1_data!$C$1:$AF$34,1,0)),"","Run1")</f>
        <v>Run1</v>
      </c>
      <c r="E33" t="s">
        <v>24</v>
      </c>
      <c r="F33" t="s">
        <v>25</v>
      </c>
      <c r="I33" t="s">
        <v>101</v>
      </c>
      <c r="J33" t="s">
        <v>27</v>
      </c>
      <c r="K33">
        <v>0.1</v>
      </c>
      <c r="L33">
        <v>10</v>
      </c>
      <c r="M33">
        <v>3</v>
      </c>
      <c r="O33" t="s">
        <v>26</v>
      </c>
      <c r="P33" t="s">
        <v>27</v>
      </c>
      <c r="Q33">
        <v>-1</v>
      </c>
      <c r="R33">
        <v>5</v>
      </c>
      <c r="S33">
        <v>20</v>
      </c>
      <c r="T33">
        <v>0</v>
      </c>
      <c r="U33" t="s">
        <v>112</v>
      </c>
      <c r="V33">
        <v>0</v>
      </c>
    </row>
    <row r="34" spans="1:22" x14ac:dyDescent="0.25">
      <c r="A34" t="s">
        <v>109</v>
      </c>
      <c r="B34" t="s">
        <v>23</v>
      </c>
      <c r="C34" t="str">
        <f t="shared" si="3"/>
        <v>GICS-PdivMA20(-1)</v>
      </c>
      <c r="D34" t="str">
        <f>IF(ISNA(HLOOKUP(C34,Run1_data!$C$1:$AF$34,1,0)),"","Run1")</f>
        <v>Run1</v>
      </c>
      <c r="E34" t="s">
        <v>24</v>
      </c>
      <c r="F34" t="s">
        <v>25</v>
      </c>
      <c r="I34" t="s">
        <v>102</v>
      </c>
      <c r="J34" t="s">
        <v>27</v>
      </c>
      <c r="K34">
        <v>0.1</v>
      </c>
      <c r="L34">
        <v>10</v>
      </c>
      <c r="M34">
        <v>3</v>
      </c>
      <c r="O34" t="s">
        <v>26</v>
      </c>
      <c r="P34" t="s">
        <v>27</v>
      </c>
      <c r="Q34">
        <v>-1</v>
      </c>
      <c r="R34">
        <v>5</v>
      </c>
      <c r="S34">
        <v>20</v>
      </c>
      <c r="T34">
        <v>0</v>
      </c>
      <c r="U34" t="s">
        <v>112</v>
      </c>
      <c r="V34">
        <v>0</v>
      </c>
    </row>
    <row r="35" spans="1:22" x14ac:dyDescent="0.25">
      <c r="A35" t="s">
        <v>109</v>
      </c>
      <c r="B35" t="s">
        <v>23</v>
      </c>
      <c r="C35" t="str">
        <f t="shared" si="3"/>
        <v>GICS-sh3m(-1)</v>
      </c>
      <c r="D35" t="str">
        <f>IF(ISNA(HLOOKUP(C35,Run1_data!$C$1:$AF$34,1,0)),"","Run1")</f>
        <v>Run1</v>
      </c>
      <c r="E35" t="s">
        <v>24</v>
      </c>
      <c r="F35" t="s">
        <v>25</v>
      </c>
      <c r="I35" t="s">
        <v>106</v>
      </c>
      <c r="J35" t="s">
        <v>27</v>
      </c>
      <c r="K35">
        <v>0.1</v>
      </c>
      <c r="L35">
        <v>10</v>
      </c>
      <c r="M35">
        <v>3</v>
      </c>
      <c r="O35" t="s">
        <v>26</v>
      </c>
      <c r="P35" t="s">
        <v>27</v>
      </c>
      <c r="Q35">
        <v>-1</v>
      </c>
      <c r="R35">
        <v>5</v>
      </c>
      <c r="S35">
        <v>20</v>
      </c>
      <c r="T35">
        <v>0</v>
      </c>
      <c r="U35" t="s">
        <v>112</v>
      </c>
      <c r="V35">
        <v>0</v>
      </c>
    </row>
    <row r="36" spans="1:22" x14ac:dyDescent="0.25">
      <c r="A36" t="s">
        <v>109</v>
      </c>
      <c r="B36" t="s">
        <v>23</v>
      </c>
      <c r="C36" t="str">
        <f t="shared" si="3"/>
        <v>GICS-trump(-1)</v>
      </c>
      <c r="D36" t="str">
        <f>IF(ISNA(HLOOKUP(C36,Run1_data!$C$1:$AF$34,1,0)),"","Run1")</f>
        <v>Run1</v>
      </c>
      <c r="E36" t="s">
        <v>24</v>
      </c>
      <c r="F36" t="s">
        <v>25</v>
      </c>
      <c r="I36" t="s">
        <v>107</v>
      </c>
      <c r="J36" t="s">
        <v>27</v>
      </c>
      <c r="K36">
        <v>0.1</v>
      </c>
      <c r="L36">
        <v>10</v>
      </c>
      <c r="M36">
        <v>3</v>
      </c>
      <c r="O36" t="s">
        <v>26</v>
      </c>
      <c r="P36" t="s">
        <v>27</v>
      </c>
      <c r="Q36">
        <v>-1</v>
      </c>
      <c r="R36">
        <v>5</v>
      </c>
      <c r="S36">
        <v>20</v>
      </c>
      <c r="T36">
        <v>0</v>
      </c>
      <c r="U36" t="s">
        <v>112</v>
      </c>
      <c r="V36">
        <v>0</v>
      </c>
    </row>
    <row r="37" spans="1:22" x14ac:dyDescent="0.25">
      <c r="A37" t="s">
        <v>109</v>
      </c>
      <c r="B37" t="s">
        <v>23</v>
      </c>
      <c r="C37" t="str">
        <f t="shared" si="3"/>
        <v>GICS-rank(-1)</v>
      </c>
      <c r="D37" t="str">
        <f>IF(ISNA(HLOOKUP(C37,Run1_data!$C$1:$AF$34,1,0)),"","Run1")</f>
        <v>Run1</v>
      </c>
      <c r="E37" t="s">
        <v>24</v>
      </c>
      <c r="F37" t="s">
        <v>25</v>
      </c>
      <c r="I37" t="s">
        <v>28</v>
      </c>
      <c r="J37" t="s">
        <v>29</v>
      </c>
      <c r="K37">
        <v>0.1</v>
      </c>
      <c r="L37">
        <v>10</v>
      </c>
      <c r="M37">
        <v>3</v>
      </c>
      <c r="O37" t="s">
        <v>26</v>
      </c>
      <c r="P37" t="s">
        <v>27</v>
      </c>
      <c r="Q37">
        <v>-1</v>
      </c>
      <c r="R37">
        <v>5</v>
      </c>
      <c r="S37">
        <v>20</v>
      </c>
      <c r="T37">
        <v>0</v>
      </c>
      <c r="U37" t="s">
        <v>112</v>
      </c>
      <c r="V37">
        <v>0</v>
      </c>
    </row>
    <row r="38" spans="1:22" x14ac:dyDescent="0.25">
      <c r="A38" t="s">
        <v>109</v>
      </c>
      <c r="B38" t="s">
        <v>23</v>
      </c>
      <c r="C38" t="str">
        <f t="shared" si="3"/>
        <v>GICS-spr100d(-1)</v>
      </c>
      <c r="D38" t="str">
        <f>IF(ISNA(HLOOKUP(C38,Run1_data!$C$1:$AF$34,1,0)),"","Run1")</f>
        <v>Run1</v>
      </c>
      <c r="E38" t="s">
        <v>24</v>
      </c>
      <c r="F38" t="s">
        <v>25</v>
      </c>
      <c r="I38" t="s">
        <v>30</v>
      </c>
      <c r="J38" t="s">
        <v>29</v>
      </c>
      <c r="K38">
        <v>0.1</v>
      </c>
      <c r="L38">
        <v>10</v>
      </c>
      <c r="M38">
        <v>3</v>
      </c>
      <c r="O38" t="s">
        <v>26</v>
      </c>
      <c r="P38" t="s">
        <v>27</v>
      </c>
      <c r="Q38">
        <v>-1</v>
      </c>
      <c r="R38">
        <v>5</v>
      </c>
      <c r="S38">
        <v>20</v>
      </c>
      <c r="T38">
        <v>0</v>
      </c>
      <c r="U38" t="s">
        <v>112</v>
      </c>
      <c r="V38">
        <v>0</v>
      </c>
    </row>
    <row r="39" spans="1:22" x14ac:dyDescent="0.25">
      <c r="A39" t="s">
        <v>109</v>
      </c>
      <c r="B39" t="s">
        <v>23</v>
      </c>
      <c r="C39" t="str">
        <f t="shared" ref="C39:C45" si="4">"GICSNY-"&amp;I39&amp;"("&amp;Q39&amp;")"</f>
        <v>GICSNY-rsi(-1)</v>
      </c>
      <c r="D39" t="str">
        <f>IF(ISNA(HLOOKUP(C39,Run1_data!$C$1:$AF$34,1,0)),"","Run1")</f>
        <v>Run1</v>
      </c>
      <c r="E39" s="9" t="s">
        <v>100</v>
      </c>
      <c r="F39" t="s">
        <v>25</v>
      </c>
      <c r="I39" t="s">
        <v>26</v>
      </c>
      <c r="J39" t="s">
        <v>27</v>
      </c>
      <c r="K39">
        <v>0.1</v>
      </c>
      <c r="L39">
        <v>10</v>
      </c>
      <c r="M39">
        <v>3</v>
      </c>
      <c r="O39" t="s">
        <v>26</v>
      </c>
      <c r="P39" t="s">
        <v>27</v>
      </c>
      <c r="Q39">
        <v>-1</v>
      </c>
      <c r="R39">
        <v>5</v>
      </c>
      <c r="S39">
        <v>20</v>
      </c>
      <c r="T39">
        <v>0</v>
      </c>
      <c r="U39" t="s">
        <v>112</v>
      </c>
      <c r="V39">
        <v>0</v>
      </c>
    </row>
    <row r="40" spans="1:22" x14ac:dyDescent="0.25">
      <c r="A40" t="s">
        <v>109</v>
      </c>
      <c r="B40" t="s">
        <v>23</v>
      </c>
      <c r="C40" t="str">
        <f t="shared" si="4"/>
        <v>GICSNY-beta3m(-1)</v>
      </c>
      <c r="D40" t="str">
        <f>IF(ISNA(HLOOKUP(C40,Run1_data!$C$1:$AF$34,1,0)),"","Run1")</f>
        <v>Run1</v>
      </c>
      <c r="E40" s="9" t="s">
        <v>100</v>
      </c>
      <c r="F40" t="s">
        <v>25</v>
      </c>
      <c r="I40" t="s">
        <v>101</v>
      </c>
      <c r="J40" t="s">
        <v>27</v>
      </c>
      <c r="K40">
        <v>0.1</v>
      </c>
      <c r="L40">
        <v>10</v>
      </c>
      <c r="M40">
        <v>3</v>
      </c>
      <c r="O40" t="s">
        <v>26</v>
      </c>
      <c r="P40" t="s">
        <v>27</v>
      </c>
      <c r="Q40">
        <v>-1</v>
      </c>
      <c r="R40">
        <v>5</v>
      </c>
      <c r="S40">
        <v>20</v>
      </c>
      <c r="T40">
        <v>0</v>
      </c>
      <c r="U40" t="s">
        <v>112</v>
      </c>
      <c r="V40">
        <v>0</v>
      </c>
    </row>
    <row r="41" spans="1:22" x14ac:dyDescent="0.25">
      <c r="A41" t="s">
        <v>109</v>
      </c>
      <c r="B41" t="s">
        <v>23</v>
      </c>
      <c r="C41" t="str">
        <f t="shared" si="4"/>
        <v>GICSNY-PdivMA20(-1)</v>
      </c>
      <c r="D41" t="str">
        <f>IF(ISNA(HLOOKUP(C41,Run1_data!$C$1:$AF$34,1,0)),"","Run1")</f>
        <v>Run1</v>
      </c>
      <c r="E41" s="9" t="s">
        <v>100</v>
      </c>
      <c r="F41" t="s">
        <v>25</v>
      </c>
      <c r="I41" t="s">
        <v>102</v>
      </c>
      <c r="J41" t="s">
        <v>27</v>
      </c>
      <c r="K41">
        <v>0.1</v>
      </c>
      <c r="L41">
        <v>10</v>
      </c>
      <c r="M41">
        <v>3</v>
      </c>
      <c r="O41" t="s">
        <v>26</v>
      </c>
      <c r="P41" t="s">
        <v>27</v>
      </c>
      <c r="Q41">
        <v>-1</v>
      </c>
      <c r="R41">
        <v>5</v>
      </c>
      <c r="S41">
        <v>20</v>
      </c>
      <c r="T41">
        <v>0</v>
      </c>
      <c r="U41" t="s">
        <v>112</v>
      </c>
      <c r="V41">
        <v>0</v>
      </c>
    </row>
    <row r="42" spans="1:22" x14ac:dyDescent="0.25">
      <c r="A42" t="s">
        <v>109</v>
      </c>
      <c r="B42" t="s">
        <v>23</v>
      </c>
      <c r="C42" t="str">
        <f t="shared" si="4"/>
        <v>GICSNY-sh3m(-1)</v>
      </c>
      <c r="D42" t="str">
        <f>IF(ISNA(HLOOKUP(C42,Run1_data!$C$1:$AF$34,1,0)),"","Run1")</f>
        <v>Run1</v>
      </c>
      <c r="E42" s="9" t="s">
        <v>100</v>
      </c>
      <c r="F42" t="s">
        <v>25</v>
      </c>
      <c r="I42" t="s">
        <v>106</v>
      </c>
      <c r="J42" t="s">
        <v>27</v>
      </c>
      <c r="K42">
        <v>0.1</v>
      </c>
      <c r="L42">
        <v>10</v>
      </c>
      <c r="M42">
        <v>3</v>
      </c>
      <c r="O42" t="s">
        <v>26</v>
      </c>
      <c r="P42" t="s">
        <v>27</v>
      </c>
      <c r="Q42">
        <v>-1</v>
      </c>
      <c r="R42">
        <v>5</v>
      </c>
      <c r="S42">
        <v>20</v>
      </c>
      <c r="T42">
        <v>0</v>
      </c>
      <c r="U42" t="s">
        <v>112</v>
      </c>
      <c r="V42">
        <v>0</v>
      </c>
    </row>
    <row r="43" spans="1:22" x14ac:dyDescent="0.25">
      <c r="A43" t="s">
        <v>109</v>
      </c>
      <c r="B43" t="s">
        <v>23</v>
      </c>
      <c r="C43" t="str">
        <f t="shared" si="4"/>
        <v>GICSNY-vola20d(-1)</v>
      </c>
      <c r="D43" t="str">
        <f>IF(ISNA(HLOOKUP(C43,Run1_data!$C$1:$AF$34,1,0)),"","Run1")</f>
        <v>Run1</v>
      </c>
      <c r="E43" s="9" t="s">
        <v>100</v>
      </c>
      <c r="F43" t="s">
        <v>25</v>
      </c>
      <c r="I43" t="s">
        <v>113</v>
      </c>
      <c r="J43" t="s">
        <v>27</v>
      </c>
      <c r="K43">
        <v>0.1</v>
      </c>
      <c r="L43">
        <v>10</v>
      </c>
      <c r="M43">
        <v>3</v>
      </c>
      <c r="O43" t="s">
        <v>26</v>
      </c>
      <c r="P43" t="s">
        <v>27</v>
      </c>
      <c r="Q43">
        <v>-1</v>
      </c>
      <c r="R43">
        <v>5</v>
      </c>
      <c r="S43">
        <v>20</v>
      </c>
      <c r="T43">
        <v>0</v>
      </c>
      <c r="U43" t="s">
        <v>112</v>
      </c>
      <c r="V43">
        <v>0</v>
      </c>
    </row>
    <row r="44" spans="1:22" x14ac:dyDescent="0.25">
      <c r="A44" t="s">
        <v>109</v>
      </c>
      <c r="B44" t="s">
        <v>23</v>
      </c>
      <c r="C44" t="str">
        <f t="shared" si="4"/>
        <v>GICSNY-rank(-1)</v>
      </c>
      <c r="D44" t="str">
        <f>IF(ISNA(HLOOKUP(C44,Run1_data!$C$1:$AF$34,1,0)),"","Run1")</f>
        <v>Run1</v>
      </c>
      <c r="E44" s="9" t="s">
        <v>100</v>
      </c>
      <c r="F44" t="s">
        <v>25</v>
      </c>
      <c r="I44" t="s">
        <v>28</v>
      </c>
      <c r="J44" t="s">
        <v>29</v>
      </c>
      <c r="K44">
        <v>0.1</v>
      </c>
      <c r="L44">
        <v>10</v>
      </c>
      <c r="M44">
        <v>3</v>
      </c>
      <c r="O44" t="s">
        <v>26</v>
      </c>
      <c r="P44" t="s">
        <v>27</v>
      </c>
      <c r="Q44">
        <v>-1</v>
      </c>
      <c r="R44">
        <v>5</v>
      </c>
      <c r="S44">
        <v>20</v>
      </c>
      <c r="T44">
        <v>0</v>
      </c>
      <c r="U44" t="s">
        <v>112</v>
      </c>
      <c r="V44">
        <v>0</v>
      </c>
    </row>
    <row r="45" spans="1:22" x14ac:dyDescent="0.25">
      <c r="A45" t="s">
        <v>109</v>
      </c>
      <c r="B45" t="s">
        <v>23</v>
      </c>
      <c r="C45" t="str">
        <f t="shared" si="4"/>
        <v>GICSNY-spr100d(-1)</v>
      </c>
      <c r="D45" t="str">
        <f>IF(ISNA(HLOOKUP(C45,Run1_data!$C$1:$AF$34,1,0)),"","Run1")</f>
        <v>Run1</v>
      </c>
      <c r="E45" s="9" t="s">
        <v>100</v>
      </c>
      <c r="F45" t="s">
        <v>25</v>
      </c>
      <c r="I45" t="s">
        <v>30</v>
      </c>
      <c r="J45" t="s">
        <v>29</v>
      </c>
      <c r="K45">
        <v>0.1</v>
      </c>
      <c r="L45">
        <v>10</v>
      </c>
      <c r="M45">
        <v>3</v>
      </c>
      <c r="O45" t="s">
        <v>26</v>
      </c>
      <c r="P45" t="s">
        <v>27</v>
      </c>
      <c r="Q45">
        <v>-1</v>
      </c>
      <c r="R45">
        <v>5</v>
      </c>
      <c r="S45">
        <v>20</v>
      </c>
      <c r="T45">
        <v>0</v>
      </c>
      <c r="U45" t="s">
        <v>112</v>
      </c>
      <c r="V45">
        <v>0</v>
      </c>
    </row>
    <row r="46" spans="1:22" x14ac:dyDescent="0.25">
      <c r="A46" t="s">
        <v>109</v>
      </c>
      <c r="B46" t="s">
        <v>23</v>
      </c>
      <c r="C46" t="str">
        <f>"ZONE-"&amp;I46&amp;"("&amp;Q46&amp;")"</f>
        <v>ZONE-quot2050(-1)</v>
      </c>
      <c r="D46" t="str">
        <f>IF(ISNA(HLOOKUP(C46,Run1_data!$C$1:$AF$34,1,0)),"","Run1")</f>
        <v>Run1</v>
      </c>
      <c r="E46" t="s">
        <v>110</v>
      </c>
      <c r="F46" t="s">
        <v>25</v>
      </c>
      <c r="I46" t="s">
        <v>105</v>
      </c>
      <c r="J46" t="s">
        <v>27</v>
      </c>
      <c r="K46">
        <v>0.1</v>
      </c>
      <c r="L46">
        <v>10</v>
      </c>
      <c r="M46">
        <v>3</v>
      </c>
      <c r="O46" t="s">
        <v>26</v>
      </c>
      <c r="P46" t="s">
        <v>27</v>
      </c>
      <c r="Q46">
        <v>-1</v>
      </c>
      <c r="R46">
        <v>5</v>
      </c>
      <c r="S46">
        <v>20</v>
      </c>
      <c r="T46">
        <v>0</v>
      </c>
      <c r="U46" t="s">
        <v>112</v>
      </c>
      <c r="V46">
        <v>0</v>
      </c>
    </row>
    <row r="47" spans="1:22" x14ac:dyDescent="0.25">
      <c r="A47" t="s">
        <v>109</v>
      </c>
      <c r="B47" t="s">
        <v>23</v>
      </c>
      <c r="C47" t="str">
        <f>"ZONE-"&amp;I47&amp;"("&amp;Q47&amp;")"</f>
        <v>ZONE-sh3m(-1)</v>
      </c>
      <c r="D47" t="str">
        <f>IF(ISNA(HLOOKUP(C47,Run1_data!$C$1:$AF$34,1,0)),"","Run1")</f>
        <v>Run1</v>
      </c>
      <c r="E47" t="s">
        <v>110</v>
      </c>
      <c r="F47" t="s">
        <v>25</v>
      </c>
      <c r="I47" t="s">
        <v>106</v>
      </c>
      <c r="J47" t="s">
        <v>27</v>
      </c>
      <c r="K47">
        <v>0.1</v>
      </c>
      <c r="L47">
        <v>10</v>
      </c>
      <c r="M47">
        <v>3</v>
      </c>
      <c r="O47" t="s">
        <v>26</v>
      </c>
      <c r="P47" t="s">
        <v>27</v>
      </c>
      <c r="Q47">
        <v>-1</v>
      </c>
      <c r="R47">
        <v>5</v>
      </c>
      <c r="S47">
        <v>20</v>
      </c>
      <c r="T47">
        <v>0</v>
      </c>
      <c r="U47" t="s">
        <v>112</v>
      </c>
      <c r="V47">
        <v>0</v>
      </c>
    </row>
    <row r="48" spans="1:22" x14ac:dyDescent="0.25">
      <c r="A48" t="s">
        <v>109</v>
      </c>
      <c r="B48" t="s">
        <v>23</v>
      </c>
      <c r="C48" t="str">
        <f>"ZONE-"&amp;I48&amp;"("&amp;Q48&amp;")"</f>
        <v>ZONE-trump(-1)</v>
      </c>
      <c r="D48" t="str">
        <f>IF(ISNA(HLOOKUP(C48,Run1_data!$C$1:$AF$34,1,0)),"","Run1")</f>
        <v>Run1</v>
      </c>
      <c r="E48" t="s">
        <v>110</v>
      </c>
      <c r="F48" t="s">
        <v>25</v>
      </c>
      <c r="I48" t="s">
        <v>107</v>
      </c>
      <c r="J48" t="s">
        <v>27</v>
      </c>
      <c r="K48">
        <v>0.1</v>
      </c>
      <c r="L48">
        <v>10</v>
      </c>
      <c r="M48">
        <v>3</v>
      </c>
      <c r="O48" t="s">
        <v>26</v>
      </c>
      <c r="P48" t="s">
        <v>27</v>
      </c>
      <c r="Q48">
        <v>-1</v>
      </c>
      <c r="R48">
        <v>5</v>
      </c>
      <c r="S48">
        <v>20</v>
      </c>
      <c r="T48">
        <v>0</v>
      </c>
      <c r="U48" t="s">
        <v>112</v>
      </c>
      <c r="V48">
        <v>0</v>
      </c>
    </row>
    <row r="49" spans="1:22" x14ac:dyDescent="0.25">
      <c r="A49" t="s">
        <v>109</v>
      </c>
      <c r="B49" t="s">
        <v>23</v>
      </c>
      <c r="C49" t="str">
        <f>"ZONE-"&amp;I49&amp;"("&amp;Q49&amp;")"</f>
        <v>ZONE-spr100d(-1)</v>
      </c>
      <c r="D49" t="str">
        <f>IF(ISNA(HLOOKUP(C49,Run1_data!$C$1:$AF$34,1,0)),"","Run1")</f>
        <v>Run1</v>
      </c>
      <c r="E49" t="s">
        <v>110</v>
      </c>
      <c r="F49" t="s">
        <v>25</v>
      </c>
      <c r="I49" t="s">
        <v>30</v>
      </c>
      <c r="J49" t="s">
        <v>29</v>
      </c>
      <c r="K49">
        <v>0.1</v>
      </c>
      <c r="L49">
        <v>10</v>
      </c>
      <c r="M49">
        <v>3</v>
      </c>
      <c r="O49" t="s">
        <v>26</v>
      </c>
      <c r="P49" t="s">
        <v>27</v>
      </c>
      <c r="Q49">
        <v>-1</v>
      </c>
      <c r="R49">
        <v>5</v>
      </c>
      <c r="S49">
        <v>20</v>
      </c>
      <c r="T49">
        <v>0</v>
      </c>
      <c r="U49" t="s">
        <v>112</v>
      </c>
      <c r="V49">
        <v>0</v>
      </c>
    </row>
    <row r="50" spans="1:22" x14ac:dyDescent="0.25">
      <c r="A50" t="s">
        <v>109</v>
      </c>
      <c r="B50" t="s">
        <v>23</v>
      </c>
      <c r="C50" t="str">
        <f t="shared" ref="C50:C61" si="5">"FKgrade-"&amp;I50&amp;"("&amp;Q50&amp;")"</f>
        <v>FKgrade-rsi(-1)</v>
      </c>
      <c r="D50" t="str">
        <f>IF(ISNA(HLOOKUP(C50,Run1_data!$C$1:$AF$34,1,0)),"","Run1")</f>
        <v>Run1</v>
      </c>
      <c r="E50" s="10" t="s">
        <v>111</v>
      </c>
      <c r="F50" t="s">
        <v>25</v>
      </c>
      <c r="I50" t="s">
        <v>26</v>
      </c>
      <c r="J50" t="s">
        <v>27</v>
      </c>
      <c r="K50">
        <v>0.1</v>
      </c>
      <c r="L50">
        <v>10</v>
      </c>
      <c r="M50">
        <v>3</v>
      </c>
      <c r="O50" t="s">
        <v>26</v>
      </c>
      <c r="P50" t="s">
        <v>27</v>
      </c>
      <c r="Q50">
        <v>-1</v>
      </c>
      <c r="R50">
        <v>5</v>
      </c>
      <c r="S50">
        <v>20</v>
      </c>
      <c r="T50">
        <v>0</v>
      </c>
      <c r="U50" t="s">
        <v>112</v>
      </c>
      <c r="V50">
        <v>0</v>
      </c>
    </row>
    <row r="51" spans="1:22" x14ac:dyDescent="0.25">
      <c r="A51" t="s">
        <v>109</v>
      </c>
      <c r="B51" t="s">
        <v>23</v>
      </c>
      <c r="C51" t="str">
        <f t="shared" si="5"/>
        <v>FKgrade-beta3m(-1)</v>
      </c>
      <c r="D51" t="str">
        <f>IF(ISNA(HLOOKUP(C51,Run1_data!$C$1:$AF$34,1,0)),"","Run1")</f>
        <v>Run1</v>
      </c>
      <c r="E51" s="10" t="s">
        <v>111</v>
      </c>
      <c r="F51" t="s">
        <v>25</v>
      </c>
      <c r="I51" t="s">
        <v>101</v>
      </c>
      <c r="J51" t="s">
        <v>27</v>
      </c>
      <c r="K51">
        <v>0.1</v>
      </c>
      <c r="L51">
        <v>10</v>
      </c>
      <c r="M51">
        <v>3</v>
      </c>
      <c r="O51" t="s">
        <v>26</v>
      </c>
      <c r="P51" t="s">
        <v>27</v>
      </c>
      <c r="Q51">
        <v>-1</v>
      </c>
      <c r="R51">
        <v>5</v>
      </c>
      <c r="S51">
        <v>20</v>
      </c>
      <c r="T51">
        <v>0</v>
      </c>
      <c r="U51" t="s">
        <v>112</v>
      </c>
      <c r="V51">
        <v>0</v>
      </c>
    </row>
    <row r="52" spans="1:22" x14ac:dyDescent="0.25">
      <c r="A52" t="s">
        <v>109</v>
      </c>
      <c r="B52" t="s">
        <v>23</v>
      </c>
      <c r="C52" t="str">
        <f t="shared" si="5"/>
        <v>FKgrade-PdivMA20(-1)</v>
      </c>
      <c r="D52" t="str">
        <f>IF(ISNA(HLOOKUP(C52,Run1_data!$C$1:$AF$34,1,0)),"","Run1")</f>
        <v>Run1</v>
      </c>
      <c r="E52" s="10" t="s">
        <v>111</v>
      </c>
      <c r="F52" t="s">
        <v>25</v>
      </c>
      <c r="I52" t="s">
        <v>102</v>
      </c>
      <c r="J52" t="s">
        <v>27</v>
      </c>
      <c r="K52">
        <v>0.1</v>
      </c>
      <c r="L52">
        <v>10</v>
      </c>
      <c r="M52">
        <v>3</v>
      </c>
      <c r="O52" t="s">
        <v>26</v>
      </c>
      <c r="P52" t="s">
        <v>27</v>
      </c>
      <c r="Q52">
        <v>-1</v>
      </c>
      <c r="R52">
        <v>5</v>
      </c>
      <c r="S52">
        <v>20</v>
      </c>
      <c r="T52">
        <v>0</v>
      </c>
      <c r="U52" t="s">
        <v>112</v>
      </c>
      <c r="V52">
        <v>0</v>
      </c>
    </row>
    <row r="53" spans="1:22" x14ac:dyDescent="0.25">
      <c r="A53" t="s">
        <v>109</v>
      </c>
      <c r="B53" t="s">
        <v>23</v>
      </c>
      <c r="C53" t="str">
        <f t="shared" si="5"/>
        <v>FKgrade-per20d(-1)</v>
      </c>
      <c r="D53" t="str">
        <f>IF(ISNA(HLOOKUP(C53,Run1_data!$C$1:$AF$34,1,0)),"","Run1")</f>
        <v>Run1</v>
      </c>
      <c r="E53" s="10" t="s">
        <v>111</v>
      </c>
      <c r="F53" t="s">
        <v>25</v>
      </c>
      <c r="I53" t="s">
        <v>103</v>
      </c>
      <c r="J53" t="s">
        <v>27</v>
      </c>
      <c r="K53">
        <v>0.1</v>
      </c>
      <c r="L53">
        <v>10</v>
      </c>
      <c r="M53">
        <v>3</v>
      </c>
      <c r="O53" t="s">
        <v>26</v>
      </c>
      <c r="P53" t="s">
        <v>27</v>
      </c>
      <c r="Q53">
        <v>-1</v>
      </c>
      <c r="R53">
        <v>5</v>
      </c>
      <c r="S53">
        <v>20</v>
      </c>
      <c r="T53">
        <v>0</v>
      </c>
      <c r="U53" t="s">
        <v>112</v>
      </c>
      <c r="V53">
        <v>0</v>
      </c>
    </row>
    <row r="54" spans="1:22" x14ac:dyDescent="0.25">
      <c r="A54" t="s">
        <v>109</v>
      </c>
      <c r="B54" t="s">
        <v>23</v>
      </c>
      <c r="C54" t="str">
        <f t="shared" si="5"/>
        <v>FKgrade-quot1020(-1)</v>
      </c>
      <c r="D54" t="str">
        <f>IF(ISNA(HLOOKUP(C54,Run1_data!$C$1:$AF$34,1,0)),"","Run1")</f>
        <v>Run1</v>
      </c>
      <c r="E54" s="10" t="s">
        <v>111</v>
      </c>
      <c r="F54" t="s">
        <v>25</v>
      </c>
      <c r="I54" t="s">
        <v>104</v>
      </c>
      <c r="J54" t="s">
        <v>27</v>
      </c>
      <c r="K54">
        <v>0.1</v>
      </c>
      <c r="L54">
        <v>10</v>
      </c>
      <c r="M54">
        <v>3</v>
      </c>
      <c r="O54" t="s">
        <v>26</v>
      </c>
      <c r="P54" t="s">
        <v>27</v>
      </c>
      <c r="Q54">
        <v>-1</v>
      </c>
      <c r="R54">
        <v>5</v>
      </c>
      <c r="S54">
        <v>20</v>
      </c>
      <c r="T54">
        <v>0</v>
      </c>
      <c r="U54" t="s">
        <v>112</v>
      </c>
      <c r="V54">
        <v>0</v>
      </c>
    </row>
    <row r="55" spans="1:22" x14ac:dyDescent="0.25">
      <c r="A55" t="s">
        <v>109</v>
      </c>
      <c r="B55" t="s">
        <v>23</v>
      </c>
      <c r="C55" t="str">
        <f t="shared" si="5"/>
        <v>FKgrade-quot2050(-1)</v>
      </c>
      <c r="D55" t="str">
        <f>IF(ISNA(HLOOKUP(C55,Run1_data!$C$1:$AF$34,1,0)),"","Run1")</f>
        <v>Run1</v>
      </c>
      <c r="E55" s="10" t="s">
        <v>111</v>
      </c>
      <c r="F55" t="s">
        <v>25</v>
      </c>
      <c r="I55" t="s">
        <v>105</v>
      </c>
      <c r="J55" t="s">
        <v>27</v>
      </c>
      <c r="K55">
        <v>0.1</v>
      </c>
      <c r="L55">
        <v>10</v>
      </c>
      <c r="M55">
        <v>3</v>
      </c>
      <c r="O55" t="s">
        <v>26</v>
      </c>
      <c r="P55" t="s">
        <v>27</v>
      </c>
      <c r="Q55">
        <v>-1</v>
      </c>
      <c r="R55">
        <v>5</v>
      </c>
      <c r="S55">
        <v>20</v>
      </c>
      <c r="T55">
        <v>0</v>
      </c>
      <c r="U55" t="s">
        <v>112</v>
      </c>
      <c r="V55">
        <v>0</v>
      </c>
    </row>
    <row r="56" spans="1:22" x14ac:dyDescent="0.25">
      <c r="A56" t="s">
        <v>109</v>
      </c>
      <c r="B56" t="s">
        <v>23</v>
      </c>
      <c r="C56" t="str">
        <f t="shared" si="5"/>
        <v>FKgrade-sh3m(-1)</v>
      </c>
      <c r="D56" t="str">
        <f>IF(ISNA(HLOOKUP(C56,Run1_data!$C$1:$AF$34,1,0)),"","Run1")</f>
        <v>Run1</v>
      </c>
      <c r="E56" s="10" t="s">
        <v>111</v>
      </c>
      <c r="F56" t="s">
        <v>25</v>
      </c>
      <c r="I56" t="s">
        <v>106</v>
      </c>
      <c r="J56" t="s">
        <v>27</v>
      </c>
      <c r="K56">
        <v>0.1</v>
      </c>
      <c r="L56">
        <v>10</v>
      </c>
      <c r="M56">
        <v>3</v>
      </c>
      <c r="O56" t="s">
        <v>26</v>
      </c>
      <c r="P56" t="s">
        <v>27</v>
      </c>
      <c r="Q56">
        <v>-1</v>
      </c>
      <c r="R56">
        <v>5</v>
      </c>
      <c r="S56">
        <v>20</v>
      </c>
      <c r="T56">
        <v>0</v>
      </c>
      <c r="U56" t="s">
        <v>112</v>
      </c>
      <c r="V56">
        <v>0</v>
      </c>
    </row>
    <row r="57" spans="1:22" x14ac:dyDescent="0.25">
      <c r="A57" t="s">
        <v>109</v>
      </c>
      <c r="B57" t="s">
        <v>23</v>
      </c>
      <c r="C57" t="str">
        <f t="shared" si="5"/>
        <v>FKgrade-trump(-1)</v>
      </c>
      <c r="D57" t="str">
        <f>IF(ISNA(HLOOKUP(C57,Run1_data!$C$1:$AF$34,1,0)),"","Run1")</f>
        <v>Run1</v>
      </c>
      <c r="E57" s="10" t="s">
        <v>111</v>
      </c>
      <c r="F57" t="s">
        <v>25</v>
      </c>
      <c r="I57" t="s">
        <v>107</v>
      </c>
      <c r="J57" t="s">
        <v>27</v>
      </c>
      <c r="K57">
        <v>0.1</v>
      </c>
      <c r="L57">
        <v>10</v>
      </c>
      <c r="M57">
        <v>3</v>
      </c>
      <c r="O57" t="s">
        <v>26</v>
      </c>
      <c r="P57" t="s">
        <v>27</v>
      </c>
      <c r="Q57">
        <v>-1</v>
      </c>
      <c r="R57">
        <v>5</v>
      </c>
      <c r="S57">
        <v>20</v>
      </c>
      <c r="T57">
        <v>0</v>
      </c>
      <c r="U57" t="s">
        <v>112</v>
      </c>
      <c r="V57">
        <v>0</v>
      </c>
    </row>
    <row r="58" spans="1:22" x14ac:dyDescent="0.25">
      <c r="A58" t="s">
        <v>109</v>
      </c>
      <c r="B58" t="s">
        <v>23</v>
      </c>
      <c r="C58" t="str">
        <f t="shared" si="5"/>
        <v>FKgrade-vola20d(-1)</v>
      </c>
      <c r="D58" t="str">
        <f>IF(ISNA(HLOOKUP(C58,Run1_data!$C$1:$AF$34,1,0)),"","Run1")</f>
        <v>Run1</v>
      </c>
      <c r="E58" s="10" t="s">
        <v>111</v>
      </c>
      <c r="F58" t="s">
        <v>25</v>
      </c>
      <c r="I58" t="s">
        <v>113</v>
      </c>
      <c r="J58" t="s">
        <v>27</v>
      </c>
      <c r="K58">
        <v>0.1</v>
      </c>
      <c r="L58">
        <v>10</v>
      </c>
      <c r="M58">
        <v>3</v>
      </c>
      <c r="O58" t="s">
        <v>26</v>
      </c>
      <c r="P58" t="s">
        <v>27</v>
      </c>
      <c r="Q58">
        <v>-1</v>
      </c>
      <c r="R58">
        <v>5</v>
      </c>
      <c r="S58">
        <v>20</v>
      </c>
      <c r="T58">
        <v>0</v>
      </c>
      <c r="U58" t="s">
        <v>112</v>
      </c>
      <c r="V58">
        <v>0</v>
      </c>
    </row>
    <row r="59" spans="1:22" x14ac:dyDescent="0.25">
      <c r="A59" t="s">
        <v>109</v>
      </c>
      <c r="B59" t="s">
        <v>23</v>
      </c>
      <c r="C59" t="str">
        <f t="shared" si="5"/>
        <v>FKgrade-rank(-1)</v>
      </c>
      <c r="D59" t="str">
        <f>IF(ISNA(HLOOKUP(C59,Run1_data!$C$1:$AF$34,1,0)),"","Run1")</f>
        <v>Run1</v>
      </c>
      <c r="E59" s="10" t="s">
        <v>111</v>
      </c>
      <c r="F59" t="s">
        <v>25</v>
      </c>
      <c r="I59" t="s">
        <v>28</v>
      </c>
      <c r="J59" t="s">
        <v>29</v>
      </c>
      <c r="K59">
        <v>0.1</v>
      </c>
      <c r="L59">
        <v>10</v>
      </c>
      <c r="M59">
        <v>3</v>
      </c>
      <c r="O59" t="s">
        <v>26</v>
      </c>
      <c r="P59" t="s">
        <v>27</v>
      </c>
      <c r="Q59">
        <v>-1</v>
      </c>
      <c r="R59">
        <v>5</v>
      </c>
      <c r="S59">
        <v>20</v>
      </c>
      <c r="T59">
        <v>0</v>
      </c>
      <c r="U59" t="s">
        <v>112</v>
      </c>
      <c r="V59">
        <v>0</v>
      </c>
    </row>
    <row r="60" spans="1:22" x14ac:dyDescent="0.25">
      <c r="A60" t="s">
        <v>109</v>
      </c>
      <c r="B60" t="s">
        <v>23</v>
      </c>
      <c r="C60" t="str">
        <f t="shared" si="5"/>
        <v>FKgrade-median_30d(-1)</v>
      </c>
      <c r="D60" t="str">
        <f>IF(ISNA(HLOOKUP(C60,Run1_data!$C$1:$AF$34,1,0)),"","Run1")</f>
        <v>Run1</v>
      </c>
      <c r="E60" s="10" t="s">
        <v>111</v>
      </c>
      <c r="F60" t="s">
        <v>25</v>
      </c>
      <c r="I60" t="s">
        <v>108</v>
      </c>
      <c r="J60" t="s">
        <v>29</v>
      </c>
      <c r="K60">
        <v>0.1</v>
      </c>
      <c r="L60">
        <v>10</v>
      </c>
      <c r="M60">
        <v>3</v>
      </c>
      <c r="O60" t="s">
        <v>26</v>
      </c>
      <c r="P60" t="s">
        <v>27</v>
      </c>
      <c r="Q60">
        <v>-1</v>
      </c>
      <c r="R60">
        <v>5</v>
      </c>
      <c r="S60">
        <v>20</v>
      </c>
      <c r="T60">
        <v>0</v>
      </c>
      <c r="U60" t="s">
        <v>112</v>
      </c>
      <c r="V60">
        <v>0</v>
      </c>
    </row>
    <row r="61" spans="1:22" x14ac:dyDescent="0.25">
      <c r="A61" t="s">
        <v>109</v>
      </c>
      <c r="B61" t="s">
        <v>23</v>
      </c>
      <c r="C61" t="str">
        <f t="shared" si="5"/>
        <v>FKgrade-spr100d(-1)</v>
      </c>
      <c r="D61" t="str">
        <f>IF(ISNA(HLOOKUP(C61,Run1_data!$C$1:$AF$34,1,0)),"","Run1")</f>
        <v>Run1</v>
      </c>
      <c r="E61" s="10" t="s">
        <v>111</v>
      </c>
      <c r="F61" t="s">
        <v>25</v>
      </c>
      <c r="I61" t="s">
        <v>30</v>
      </c>
      <c r="J61" t="s">
        <v>29</v>
      </c>
      <c r="K61">
        <v>0.1</v>
      </c>
      <c r="L61">
        <v>10</v>
      </c>
      <c r="M61">
        <v>3</v>
      </c>
      <c r="O61" t="s">
        <v>26</v>
      </c>
      <c r="P61" t="s">
        <v>27</v>
      </c>
      <c r="Q61">
        <v>-1</v>
      </c>
      <c r="R61">
        <v>5</v>
      </c>
      <c r="S61">
        <v>20</v>
      </c>
      <c r="T61">
        <v>0</v>
      </c>
      <c r="U61" t="s">
        <v>112</v>
      </c>
      <c r="V61">
        <v>0</v>
      </c>
    </row>
  </sheetData>
  <sortState xmlns:xlrd2="http://schemas.microsoft.com/office/spreadsheetml/2017/richdata2" ref="A2:W31">
    <sortCondition descending="1" ref="D2:D31"/>
  </sortState>
  <pageMargins left="0.75" right="0.75" top="1" bottom="1" header="0.5" footer="0.5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31</v>
      </c>
      <c r="B1" s="7" t="s">
        <v>32</v>
      </c>
      <c r="C1" s="7" t="s">
        <v>33</v>
      </c>
    </row>
    <row r="2" spans="1:3" ht="30" x14ac:dyDescent="0.25">
      <c r="A2" t="s">
        <v>34</v>
      </c>
      <c r="B2">
        <v>3</v>
      </c>
      <c r="C2" s="8" t="s">
        <v>35</v>
      </c>
    </row>
    <row r="3" spans="1:3" x14ac:dyDescent="0.25">
      <c r="A3" t="s">
        <v>36</v>
      </c>
      <c r="B3">
        <v>315</v>
      </c>
      <c r="C3" s="8" t="s">
        <v>37</v>
      </c>
    </row>
    <row r="4" spans="1:3" x14ac:dyDescent="0.25">
      <c r="A4" t="s">
        <v>38</v>
      </c>
      <c r="B4">
        <v>63</v>
      </c>
      <c r="C4" s="8" t="s">
        <v>39</v>
      </c>
    </row>
    <row r="5" spans="1:3" x14ac:dyDescent="0.25">
      <c r="A5" t="s">
        <v>40</v>
      </c>
      <c r="B5" t="b">
        <v>1</v>
      </c>
      <c r="C5" s="8" t="s">
        <v>41</v>
      </c>
    </row>
    <row r="6" spans="1:3" x14ac:dyDescent="0.25">
      <c r="A6" t="s">
        <v>42</v>
      </c>
      <c r="B6">
        <v>3</v>
      </c>
      <c r="C6" s="8" t="s">
        <v>43</v>
      </c>
    </row>
    <row r="7" spans="1:3" ht="30" x14ac:dyDescent="0.25">
      <c r="A7" t="s">
        <v>44</v>
      </c>
      <c r="B7" t="s">
        <v>45</v>
      </c>
      <c r="C7" s="8" t="s">
        <v>46</v>
      </c>
    </row>
    <row r="8" spans="1:3" ht="30" x14ac:dyDescent="0.25">
      <c r="A8" t="s">
        <v>47</v>
      </c>
      <c r="B8">
        <v>5</v>
      </c>
      <c r="C8" s="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selection activeCell="F17" sqref="F17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49</v>
      </c>
      <c r="B1" s="7" t="s">
        <v>50</v>
      </c>
      <c r="C1" s="7" t="s">
        <v>51</v>
      </c>
      <c r="D1" s="7" t="s">
        <v>52</v>
      </c>
      <c r="E1" s="7" t="s">
        <v>53</v>
      </c>
      <c r="F1" s="7" t="s">
        <v>33</v>
      </c>
    </row>
    <row r="2" spans="1:6" x14ac:dyDescent="0.25">
      <c r="A2" t="s">
        <v>0</v>
      </c>
      <c r="B2" t="s">
        <v>54</v>
      </c>
      <c r="C2" t="s">
        <v>55</v>
      </c>
      <c r="D2" t="s">
        <v>56</v>
      </c>
      <c r="F2" s="8" t="s">
        <v>57</v>
      </c>
    </row>
    <row r="3" spans="1:6" x14ac:dyDescent="0.25">
      <c r="A3" t="s">
        <v>1</v>
      </c>
      <c r="B3" t="s">
        <v>54</v>
      </c>
      <c r="C3" t="s">
        <v>58</v>
      </c>
      <c r="D3" t="s">
        <v>23</v>
      </c>
      <c r="E3" t="s">
        <v>59</v>
      </c>
      <c r="F3" s="8" t="s">
        <v>60</v>
      </c>
    </row>
    <row r="4" spans="1:6" x14ac:dyDescent="0.25">
      <c r="A4" t="s">
        <v>2</v>
      </c>
      <c r="B4" t="s">
        <v>54</v>
      </c>
      <c r="C4" t="s">
        <v>61</v>
      </c>
      <c r="F4" s="8" t="s">
        <v>62</v>
      </c>
    </row>
    <row r="5" spans="1:6" x14ac:dyDescent="0.25">
      <c r="A5" t="s">
        <v>3</v>
      </c>
      <c r="B5" t="s">
        <v>54</v>
      </c>
      <c r="C5" t="s">
        <v>61</v>
      </c>
      <c r="F5" s="8" t="s">
        <v>63</v>
      </c>
    </row>
    <row r="6" spans="1:6" ht="30" x14ac:dyDescent="0.25">
      <c r="A6" t="s">
        <v>4</v>
      </c>
      <c r="B6">
        <v>0</v>
      </c>
      <c r="C6" t="s">
        <v>64</v>
      </c>
      <c r="F6" s="8" t="s">
        <v>65</v>
      </c>
    </row>
    <row r="7" spans="1:6" x14ac:dyDescent="0.25">
      <c r="A7" t="s">
        <v>5</v>
      </c>
      <c r="B7">
        <v>1</v>
      </c>
      <c r="C7" t="s">
        <v>58</v>
      </c>
      <c r="D7" t="s">
        <v>25</v>
      </c>
      <c r="E7" t="s">
        <v>66</v>
      </c>
      <c r="F7" s="8" t="s">
        <v>67</v>
      </c>
    </row>
    <row r="8" spans="1:6" x14ac:dyDescent="0.25">
      <c r="A8" t="s">
        <v>6</v>
      </c>
      <c r="B8">
        <v>1</v>
      </c>
      <c r="C8" t="s">
        <v>68</v>
      </c>
      <c r="F8" s="8" t="s">
        <v>69</v>
      </c>
    </row>
    <row r="9" spans="1:6" x14ac:dyDescent="0.25">
      <c r="A9" t="s">
        <v>7</v>
      </c>
      <c r="B9">
        <v>1</v>
      </c>
      <c r="C9" t="s">
        <v>70</v>
      </c>
      <c r="D9" t="s">
        <v>71</v>
      </c>
      <c r="F9" s="8" t="s">
        <v>72</v>
      </c>
    </row>
    <row r="10" spans="1:6" x14ac:dyDescent="0.25">
      <c r="A10" t="s">
        <v>8</v>
      </c>
      <c r="B10">
        <v>1</v>
      </c>
      <c r="C10" t="s">
        <v>61</v>
      </c>
      <c r="D10" t="s">
        <v>28</v>
      </c>
      <c r="F10" s="8" t="s">
        <v>73</v>
      </c>
    </row>
    <row r="11" spans="1:6" x14ac:dyDescent="0.25">
      <c r="A11" t="s">
        <v>9</v>
      </c>
      <c r="B11">
        <v>1</v>
      </c>
      <c r="C11" t="s">
        <v>74</v>
      </c>
      <c r="D11" t="s">
        <v>75</v>
      </c>
      <c r="F11" s="8" t="s">
        <v>76</v>
      </c>
    </row>
    <row r="12" spans="1:6" ht="30" x14ac:dyDescent="0.25">
      <c r="A12" t="s">
        <v>10</v>
      </c>
      <c r="B12">
        <v>1</v>
      </c>
      <c r="C12" t="s">
        <v>70</v>
      </c>
      <c r="D12" t="s">
        <v>77</v>
      </c>
      <c r="F12" s="8" t="s">
        <v>78</v>
      </c>
    </row>
    <row r="13" spans="1:6" x14ac:dyDescent="0.25">
      <c r="A13" t="s">
        <v>11</v>
      </c>
      <c r="B13">
        <v>1</v>
      </c>
      <c r="C13" t="s">
        <v>68</v>
      </c>
      <c r="D13" t="s">
        <v>79</v>
      </c>
      <c r="F13" s="8" t="s">
        <v>80</v>
      </c>
    </row>
    <row r="14" spans="1:6" ht="30" x14ac:dyDescent="0.25">
      <c r="A14" t="s">
        <v>12</v>
      </c>
      <c r="B14">
        <v>1</v>
      </c>
      <c r="C14" t="s">
        <v>68</v>
      </c>
      <c r="D14" t="s">
        <v>79</v>
      </c>
      <c r="F14" s="8" t="s">
        <v>81</v>
      </c>
    </row>
    <row r="15" spans="1:6" x14ac:dyDescent="0.25">
      <c r="A15" t="s">
        <v>13</v>
      </c>
      <c r="B15">
        <v>2</v>
      </c>
      <c r="C15" t="s">
        <v>64</v>
      </c>
      <c r="F15" s="8" t="s">
        <v>82</v>
      </c>
    </row>
    <row r="16" spans="1:6" x14ac:dyDescent="0.25">
      <c r="A16" t="s">
        <v>14</v>
      </c>
      <c r="B16">
        <v>2</v>
      </c>
      <c r="C16" t="s">
        <v>61</v>
      </c>
      <c r="D16" t="s">
        <v>28</v>
      </c>
      <c r="F16" s="8" t="s">
        <v>83</v>
      </c>
    </row>
    <row r="17" spans="1:6" x14ac:dyDescent="0.25">
      <c r="A17" t="s">
        <v>15</v>
      </c>
      <c r="B17">
        <v>2</v>
      </c>
      <c r="C17" t="s">
        <v>74</v>
      </c>
      <c r="D17" t="s">
        <v>75</v>
      </c>
      <c r="F17" s="8" t="s">
        <v>84</v>
      </c>
    </row>
    <row r="18" spans="1:6" ht="30" x14ac:dyDescent="0.25">
      <c r="A18" t="s">
        <v>16</v>
      </c>
      <c r="B18">
        <v>2</v>
      </c>
      <c r="C18" t="s">
        <v>16</v>
      </c>
      <c r="D18" t="s">
        <v>85</v>
      </c>
      <c r="F18" s="8" t="s">
        <v>86</v>
      </c>
    </row>
    <row r="19" spans="1:6" x14ac:dyDescent="0.25">
      <c r="A19" t="s">
        <v>17</v>
      </c>
      <c r="B19">
        <v>2</v>
      </c>
      <c r="C19" t="s">
        <v>68</v>
      </c>
      <c r="D19" t="s">
        <v>87</v>
      </c>
      <c r="F19" s="8" t="s">
        <v>88</v>
      </c>
    </row>
    <row r="20" spans="1:6" x14ac:dyDescent="0.25">
      <c r="A20" t="s">
        <v>18</v>
      </c>
      <c r="B20">
        <v>3</v>
      </c>
      <c r="C20" t="s">
        <v>68</v>
      </c>
      <c r="D20" t="s">
        <v>89</v>
      </c>
      <c r="E20" t="s">
        <v>90</v>
      </c>
      <c r="F20" s="8" t="s">
        <v>91</v>
      </c>
    </row>
    <row r="21" spans="1:6" x14ac:dyDescent="0.25">
      <c r="A21" t="s">
        <v>19</v>
      </c>
      <c r="B21">
        <v>3</v>
      </c>
      <c r="C21" t="s">
        <v>68</v>
      </c>
      <c r="D21" t="s">
        <v>92</v>
      </c>
      <c r="F21" s="8" t="s">
        <v>93</v>
      </c>
    </row>
    <row r="22" spans="1:6" x14ac:dyDescent="0.25">
      <c r="A22" t="s">
        <v>20</v>
      </c>
      <c r="B22">
        <v>3</v>
      </c>
      <c r="C22" t="s">
        <v>94</v>
      </c>
      <c r="D22" t="s">
        <v>95</v>
      </c>
      <c r="F22" s="8" t="s">
        <v>96</v>
      </c>
    </row>
    <row r="23" spans="1:6" ht="45" x14ac:dyDescent="0.25">
      <c r="A23" t="s">
        <v>21</v>
      </c>
      <c r="B23">
        <v>3</v>
      </c>
      <c r="C23" t="s">
        <v>70</v>
      </c>
      <c r="D23" t="s">
        <v>97</v>
      </c>
      <c r="F23" s="8" t="s">
        <v>98</v>
      </c>
    </row>
    <row r="24" spans="1:6" ht="30" x14ac:dyDescent="0.25">
      <c r="A24" t="s">
        <v>22</v>
      </c>
      <c r="B24">
        <v>4</v>
      </c>
      <c r="C24" t="s">
        <v>61</v>
      </c>
      <c r="F24" s="8" t="s">
        <v>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ACE79-C258-4554-AA85-8C9F56B951B3}">
  <dimension ref="A1:W97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7.5703125" customWidth="1"/>
    <col min="2" max="2" width="8.85546875" customWidth="1"/>
    <col min="3" max="4" width="18" customWidth="1"/>
    <col min="5" max="5" width="39.140625" customWidth="1"/>
    <col min="6" max="6" width="7.140625" customWidth="1"/>
    <col min="7" max="7" width="18.7109375" customWidth="1"/>
    <col min="8" max="16" width="18" customWidth="1"/>
    <col min="17" max="17" width="10.5703125" customWidth="1"/>
    <col min="18" max="20" width="18" customWidth="1"/>
    <col min="21" max="21" width="48.42578125" customWidth="1"/>
    <col min="22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A2">
        <v>1</v>
      </c>
      <c r="C2" t="str">
        <f t="shared" ref="C2:C13" si="0">"GICS-"&amp;I2&amp;"("&amp;Q2&amp;")"</f>
        <v>GICS-rsi(1)</v>
      </c>
      <c r="D2" t="str">
        <f>IF(ISNA(HLOOKUP(C2,Run1_data!$C$1:$AF$34,1,0)),"","Run1")</f>
        <v/>
      </c>
      <c r="E2" t="s">
        <v>24</v>
      </c>
      <c r="F2" t="s">
        <v>25</v>
      </c>
      <c r="I2" t="s">
        <v>26</v>
      </c>
      <c r="J2" t="s">
        <v>27</v>
      </c>
      <c r="K2">
        <v>0.1</v>
      </c>
      <c r="L2">
        <v>10</v>
      </c>
      <c r="M2">
        <v>3</v>
      </c>
      <c r="O2" t="s">
        <v>28</v>
      </c>
      <c r="P2" t="s">
        <v>29</v>
      </c>
      <c r="Q2">
        <v>1</v>
      </c>
      <c r="R2">
        <v>5</v>
      </c>
      <c r="S2">
        <v>20</v>
      </c>
      <c r="T2">
        <v>0</v>
      </c>
      <c r="U2" t="s">
        <v>112</v>
      </c>
      <c r="V2">
        <v>0</v>
      </c>
    </row>
    <row r="3" spans="1:23" x14ac:dyDescent="0.25">
      <c r="A3">
        <v>2</v>
      </c>
      <c r="B3" t="s">
        <v>166</v>
      </c>
      <c r="C3" t="str">
        <f t="shared" si="0"/>
        <v>GICS-beta3m(1)</v>
      </c>
      <c r="D3" t="str">
        <f>IF(ISNA(HLOOKUP(C3,Run1_data!$C$1:$AF$34,1,0)),"","Run1")</f>
        <v/>
      </c>
      <c r="E3" t="s">
        <v>24</v>
      </c>
      <c r="F3" t="s">
        <v>25</v>
      </c>
      <c r="I3" t="s">
        <v>101</v>
      </c>
      <c r="J3" t="s">
        <v>27</v>
      </c>
      <c r="K3">
        <v>0.1</v>
      </c>
      <c r="L3">
        <v>10</v>
      </c>
      <c r="M3">
        <v>3</v>
      </c>
      <c r="O3" t="s">
        <v>28</v>
      </c>
      <c r="P3" t="s">
        <v>29</v>
      </c>
      <c r="Q3">
        <v>1</v>
      </c>
      <c r="R3">
        <v>5</v>
      </c>
      <c r="S3">
        <v>20</v>
      </c>
      <c r="T3">
        <v>0</v>
      </c>
      <c r="U3" t="s">
        <v>112</v>
      </c>
      <c r="V3">
        <v>0</v>
      </c>
    </row>
    <row r="4" spans="1:23" x14ac:dyDescent="0.25">
      <c r="A4">
        <v>3</v>
      </c>
      <c r="B4" t="s">
        <v>166</v>
      </c>
      <c r="C4" t="str">
        <f t="shared" si="0"/>
        <v>GICS-PdivMA20(1)</v>
      </c>
      <c r="D4" t="str">
        <f>IF(ISNA(HLOOKUP(C4,Run1_data!$C$1:$AF$34,1,0)),"","Run1")</f>
        <v/>
      </c>
      <c r="E4" t="s">
        <v>24</v>
      </c>
      <c r="F4" t="s">
        <v>25</v>
      </c>
      <c r="I4" t="s">
        <v>102</v>
      </c>
      <c r="J4" t="s">
        <v>27</v>
      </c>
      <c r="K4">
        <v>0.1</v>
      </c>
      <c r="L4">
        <v>10</v>
      </c>
      <c r="M4">
        <v>3</v>
      </c>
      <c r="O4" t="s">
        <v>28</v>
      </c>
      <c r="P4" t="s">
        <v>29</v>
      </c>
      <c r="Q4">
        <v>1</v>
      </c>
      <c r="R4">
        <v>5</v>
      </c>
      <c r="S4">
        <v>20</v>
      </c>
      <c r="T4">
        <v>0</v>
      </c>
      <c r="U4" t="s">
        <v>112</v>
      </c>
      <c r="V4">
        <v>0</v>
      </c>
    </row>
    <row r="5" spans="1:23" x14ac:dyDescent="0.25">
      <c r="A5">
        <v>4</v>
      </c>
      <c r="B5" t="s">
        <v>166</v>
      </c>
      <c r="C5" t="str">
        <f t="shared" si="0"/>
        <v>GICS-per20d(1)</v>
      </c>
      <c r="D5" t="str">
        <f>IF(ISNA(HLOOKUP(C5,Run1_data!$C$1:$AF$34,1,0)),"","Run1")</f>
        <v/>
      </c>
      <c r="E5" t="s">
        <v>24</v>
      </c>
      <c r="F5" t="s">
        <v>25</v>
      </c>
      <c r="I5" t="s">
        <v>103</v>
      </c>
      <c r="J5" t="s">
        <v>27</v>
      </c>
      <c r="K5">
        <v>0.1</v>
      </c>
      <c r="L5">
        <v>10</v>
      </c>
      <c r="M5">
        <v>3</v>
      </c>
      <c r="O5" t="s">
        <v>28</v>
      </c>
      <c r="P5" t="s">
        <v>29</v>
      </c>
      <c r="Q5">
        <v>1</v>
      </c>
      <c r="R5">
        <v>5</v>
      </c>
      <c r="S5">
        <v>20</v>
      </c>
      <c r="T5">
        <v>0</v>
      </c>
      <c r="U5" t="s">
        <v>112</v>
      </c>
      <c r="V5">
        <v>0</v>
      </c>
    </row>
    <row r="6" spans="1:23" x14ac:dyDescent="0.25">
      <c r="A6">
        <v>5</v>
      </c>
      <c r="B6" t="s">
        <v>166</v>
      </c>
      <c r="C6" t="str">
        <f t="shared" si="0"/>
        <v>GICS-quot1020(1)</v>
      </c>
      <c r="D6" t="str">
        <f>IF(ISNA(HLOOKUP(C6,Run1_data!$C$1:$AF$34,1,0)),"","Run1")</f>
        <v/>
      </c>
      <c r="E6" t="s">
        <v>24</v>
      </c>
      <c r="F6" t="s">
        <v>25</v>
      </c>
      <c r="I6" t="s">
        <v>104</v>
      </c>
      <c r="J6" t="s">
        <v>27</v>
      </c>
      <c r="K6">
        <v>0.1</v>
      </c>
      <c r="L6">
        <v>10</v>
      </c>
      <c r="M6">
        <v>3</v>
      </c>
      <c r="O6" t="s">
        <v>28</v>
      </c>
      <c r="P6" t="s">
        <v>29</v>
      </c>
      <c r="Q6">
        <v>1</v>
      </c>
      <c r="R6">
        <v>5</v>
      </c>
      <c r="S6">
        <v>20</v>
      </c>
      <c r="T6">
        <v>0</v>
      </c>
      <c r="U6" t="s">
        <v>112</v>
      </c>
      <c r="V6">
        <v>0</v>
      </c>
    </row>
    <row r="7" spans="1:23" x14ac:dyDescent="0.25">
      <c r="A7">
        <v>6</v>
      </c>
      <c r="B7" t="s">
        <v>166</v>
      </c>
      <c r="C7" t="str">
        <f t="shared" si="0"/>
        <v>GICS-quot2050(1)</v>
      </c>
      <c r="D7" t="str">
        <f>IF(ISNA(HLOOKUP(C7,Run1_data!$C$1:$AF$34,1,0)),"","Run1")</f>
        <v/>
      </c>
      <c r="E7" t="s">
        <v>24</v>
      </c>
      <c r="F7" t="s">
        <v>25</v>
      </c>
      <c r="I7" t="s">
        <v>105</v>
      </c>
      <c r="J7" t="s">
        <v>27</v>
      </c>
      <c r="K7">
        <v>0.1</v>
      </c>
      <c r="L7">
        <v>10</v>
      </c>
      <c r="M7">
        <v>3</v>
      </c>
      <c r="O7" t="s">
        <v>28</v>
      </c>
      <c r="P7" t="s">
        <v>29</v>
      </c>
      <c r="Q7">
        <v>1</v>
      </c>
      <c r="R7">
        <v>5</v>
      </c>
      <c r="S7">
        <v>20</v>
      </c>
      <c r="T7">
        <v>0</v>
      </c>
      <c r="U7" t="s">
        <v>112</v>
      </c>
      <c r="V7">
        <v>0</v>
      </c>
    </row>
    <row r="8" spans="1:23" x14ac:dyDescent="0.25">
      <c r="A8">
        <v>7</v>
      </c>
      <c r="B8" t="s">
        <v>166</v>
      </c>
      <c r="C8" t="str">
        <f t="shared" si="0"/>
        <v>GICS-sh3m(1)</v>
      </c>
      <c r="D8" t="str">
        <f>IF(ISNA(HLOOKUP(C8,Run1_data!$C$1:$AF$34,1,0)),"","Run1")</f>
        <v/>
      </c>
      <c r="E8" t="s">
        <v>24</v>
      </c>
      <c r="F8" t="s">
        <v>25</v>
      </c>
      <c r="I8" t="s">
        <v>106</v>
      </c>
      <c r="J8" t="s">
        <v>27</v>
      </c>
      <c r="K8">
        <v>0.1</v>
      </c>
      <c r="L8">
        <v>10</v>
      </c>
      <c r="M8">
        <v>3</v>
      </c>
      <c r="O8" t="s">
        <v>28</v>
      </c>
      <c r="P8" t="s">
        <v>29</v>
      </c>
      <c r="Q8">
        <v>1</v>
      </c>
      <c r="R8">
        <v>5</v>
      </c>
      <c r="S8">
        <v>20</v>
      </c>
      <c r="T8">
        <v>0</v>
      </c>
      <c r="U8" t="s">
        <v>112</v>
      </c>
      <c r="V8">
        <v>0</v>
      </c>
    </row>
    <row r="9" spans="1:23" x14ac:dyDescent="0.25">
      <c r="A9">
        <v>8</v>
      </c>
      <c r="B9" t="s">
        <v>166</v>
      </c>
      <c r="C9" t="str">
        <f t="shared" si="0"/>
        <v>GICS-trump(1)</v>
      </c>
      <c r="D9" t="str">
        <f>IF(ISNA(HLOOKUP(C9,Run1_data!$C$1:$AF$34,1,0)),"","Run1")</f>
        <v/>
      </c>
      <c r="E9" t="s">
        <v>24</v>
      </c>
      <c r="F9" t="s">
        <v>25</v>
      </c>
      <c r="I9" t="s">
        <v>107</v>
      </c>
      <c r="J9" t="s">
        <v>27</v>
      </c>
      <c r="K9">
        <v>0.1</v>
      </c>
      <c r="L9">
        <v>10</v>
      </c>
      <c r="M9">
        <v>3</v>
      </c>
      <c r="O9" t="s">
        <v>28</v>
      </c>
      <c r="P9" t="s">
        <v>29</v>
      </c>
      <c r="Q9">
        <v>1</v>
      </c>
      <c r="R9">
        <v>5</v>
      </c>
      <c r="S9">
        <v>20</v>
      </c>
      <c r="T9">
        <v>0</v>
      </c>
      <c r="U9" t="s">
        <v>112</v>
      </c>
      <c r="V9">
        <v>0</v>
      </c>
    </row>
    <row r="10" spans="1:23" x14ac:dyDescent="0.25">
      <c r="A10">
        <v>9</v>
      </c>
      <c r="B10" t="s">
        <v>166</v>
      </c>
      <c r="C10" t="str">
        <f t="shared" si="0"/>
        <v>GICS-vola20d(1)</v>
      </c>
      <c r="D10" t="str">
        <f>IF(ISNA(HLOOKUP(C10,Run1_data!$C$1:$AF$34,1,0)),"","Run1")</f>
        <v/>
      </c>
      <c r="E10" t="s">
        <v>24</v>
      </c>
      <c r="F10" t="s">
        <v>25</v>
      </c>
      <c r="I10" t="s">
        <v>113</v>
      </c>
      <c r="J10" t="s">
        <v>27</v>
      </c>
      <c r="K10">
        <v>0.1</v>
      </c>
      <c r="L10">
        <v>10</v>
      </c>
      <c r="M10">
        <v>3</v>
      </c>
      <c r="O10" t="s">
        <v>28</v>
      </c>
      <c r="P10" t="s">
        <v>29</v>
      </c>
      <c r="Q10">
        <v>1</v>
      </c>
      <c r="R10">
        <v>5</v>
      </c>
      <c r="S10">
        <v>20</v>
      </c>
      <c r="T10">
        <v>0</v>
      </c>
      <c r="U10" t="s">
        <v>112</v>
      </c>
      <c r="V10">
        <v>0</v>
      </c>
    </row>
    <row r="11" spans="1:23" x14ac:dyDescent="0.25">
      <c r="A11">
        <v>10</v>
      </c>
      <c r="B11" t="s">
        <v>166</v>
      </c>
      <c r="C11" t="str">
        <f t="shared" si="0"/>
        <v>GICS-rank(1)</v>
      </c>
      <c r="D11" t="str">
        <f>IF(ISNA(HLOOKUP(C11,Run1_data!$C$1:$AF$34,1,0)),"","Run1")</f>
        <v/>
      </c>
      <c r="E11" t="s">
        <v>24</v>
      </c>
      <c r="F11" t="s">
        <v>25</v>
      </c>
      <c r="I11" t="s">
        <v>28</v>
      </c>
      <c r="J11" t="s">
        <v>29</v>
      </c>
      <c r="K11">
        <v>0.1</v>
      </c>
      <c r="L11">
        <v>10</v>
      </c>
      <c r="M11">
        <v>3</v>
      </c>
      <c r="O11" t="s">
        <v>28</v>
      </c>
      <c r="P11" t="s">
        <v>29</v>
      </c>
      <c r="Q11">
        <v>1</v>
      </c>
      <c r="R11">
        <v>5</v>
      </c>
      <c r="S11">
        <v>20</v>
      </c>
      <c r="T11">
        <v>0</v>
      </c>
      <c r="U11" t="s">
        <v>112</v>
      </c>
      <c r="V11">
        <v>0</v>
      </c>
    </row>
    <row r="12" spans="1:23" x14ac:dyDescent="0.25">
      <c r="A12">
        <v>11</v>
      </c>
      <c r="B12" t="s">
        <v>166</v>
      </c>
      <c r="C12" t="str">
        <f t="shared" si="0"/>
        <v>GICS-median_30d(1)</v>
      </c>
      <c r="D12" t="str">
        <f>IF(ISNA(HLOOKUP(C12,Run1_data!$C$1:$AF$34,1,0)),"","Run1")</f>
        <v/>
      </c>
      <c r="E12" t="s">
        <v>24</v>
      </c>
      <c r="F12" t="s">
        <v>25</v>
      </c>
      <c r="I12" t="s">
        <v>108</v>
      </c>
      <c r="J12" t="s">
        <v>29</v>
      </c>
      <c r="K12">
        <v>0.1</v>
      </c>
      <c r="L12">
        <v>10</v>
      </c>
      <c r="M12">
        <v>3</v>
      </c>
      <c r="O12" t="s">
        <v>28</v>
      </c>
      <c r="P12" t="s">
        <v>29</v>
      </c>
      <c r="Q12">
        <v>1</v>
      </c>
      <c r="R12">
        <v>5</v>
      </c>
      <c r="S12">
        <v>20</v>
      </c>
      <c r="T12">
        <v>0</v>
      </c>
      <c r="U12" t="s">
        <v>112</v>
      </c>
      <c r="V12">
        <v>0</v>
      </c>
    </row>
    <row r="13" spans="1:23" x14ac:dyDescent="0.25">
      <c r="A13">
        <v>12</v>
      </c>
      <c r="B13" t="s">
        <v>166</v>
      </c>
      <c r="C13" t="str">
        <f t="shared" si="0"/>
        <v>GICS-spr100d(1)</v>
      </c>
      <c r="D13" t="str">
        <f>IF(ISNA(HLOOKUP(C13,Run1_data!$C$1:$AF$34,1,0)),"","Run1")</f>
        <v/>
      </c>
      <c r="E13" t="s">
        <v>24</v>
      </c>
      <c r="F13" t="s">
        <v>25</v>
      </c>
      <c r="I13" t="s">
        <v>30</v>
      </c>
      <c r="J13" t="s">
        <v>29</v>
      </c>
      <c r="K13">
        <v>0.1</v>
      </c>
      <c r="L13">
        <v>10</v>
      </c>
      <c r="M13">
        <v>3</v>
      </c>
      <c r="O13" t="s">
        <v>28</v>
      </c>
      <c r="P13" t="s">
        <v>29</v>
      </c>
      <c r="Q13">
        <v>1</v>
      </c>
      <c r="R13">
        <v>5</v>
      </c>
      <c r="S13">
        <v>20</v>
      </c>
      <c r="T13">
        <v>0</v>
      </c>
      <c r="U13" t="s">
        <v>112</v>
      </c>
      <c r="V13">
        <v>0</v>
      </c>
    </row>
    <row r="14" spans="1:23" x14ac:dyDescent="0.25">
      <c r="A14">
        <v>13</v>
      </c>
      <c r="B14" t="s">
        <v>166</v>
      </c>
      <c r="C14" t="str">
        <f t="shared" ref="C14:C25" si="1">"GICSNY-"&amp;I14&amp;"("&amp;Q14&amp;")"</f>
        <v>GICSNY-rsi(1)</v>
      </c>
      <c r="D14" t="str">
        <f>IF(ISNA(HLOOKUP(C14,Run1_data!$C$1:$AF$34,1,0)),"","Run1")</f>
        <v/>
      </c>
      <c r="E14" s="9" t="s">
        <v>100</v>
      </c>
      <c r="F14" t="s">
        <v>25</v>
      </c>
      <c r="I14" t="s">
        <v>26</v>
      </c>
      <c r="J14" t="s">
        <v>27</v>
      </c>
      <c r="K14">
        <v>0.1</v>
      </c>
      <c r="L14">
        <v>10</v>
      </c>
      <c r="M14">
        <v>3</v>
      </c>
      <c r="O14" t="s">
        <v>28</v>
      </c>
      <c r="P14" t="s">
        <v>29</v>
      </c>
      <c r="Q14">
        <v>1</v>
      </c>
      <c r="R14">
        <v>5</v>
      </c>
      <c r="S14">
        <v>20</v>
      </c>
      <c r="T14">
        <v>0</v>
      </c>
      <c r="U14" t="s">
        <v>112</v>
      </c>
      <c r="V14">
        <v>0</v>
      </c>
    </row>
    <row r="15" spans="1:23" x14ac:dyDescent="0.25">
      <c r="A15">
        <v>14</v>
      </c>
      <c r="B15" t="s">
        <v>166</v>
      </c>
      <c r="C15" t="str">
        <f t="shared" si="1"/>
        <v>GICSNY-beta3m(1)</v>
      </c>
      <c r="D15" t="str">
        <f>IF(ISNA(HLOOKUP(C15,Run1_data!$C$1:$AF$34,1,0)),"","Run1")</f>
        <v/>
      </c>
      <c r="E15" s="9" t="s">
        <v>100</v>
      </c>
      <c r="F15" t="s">
        <v>25</v>
      </c>
      <c r="I15" t="s">
        <v>101</v>
      </c>
      <c r="J15" t="s">
        <v>27</v>
      </c>
      <c r="K15">
        <v>0.1</v>
      </c>
      <c r="L15">
        <v>10</v>
      </c>
      <c r="M15">
        <v>3</v>
      </c>
      <c r="O15" t="s">
        <v>28</v>
      </c>
      <c r="P15" t="s">
        <v>29</v>
      </c>
      <c r="Q15">
        <v>1</v>
      </c>
      <c r="R15">
        <v>5</v>
      </c>
      <c r="S15">
        <v>20</v>
      </c>
      <c r="T15">
        <v>0</v>
      </c>
      <c r="U15" t="s">
        <v>112</v>
      </c>
      <c r="V15">
        <v>0</v>
      </c>
    </row>
    <row r="16" spans="1:23" x14ac:dyDescent="0.25">
      <c r="A16">
        <v>15</v>
      </c>
      <c r="B16" t="s">
        <v>166</v>
      </c>
      <c r="C16" t="str">
        <f t="shared" si="1"/>
        <v>GICSNY-PdivMA20(1)</v>
      </c>
      <c r="D16" t="str">
        <f>IF(ISNA(HLOOKUP(C16,Run1_data!$C$1:$AF$34,1,0)),"","Run1")</f>
        <v/>
      </c>
      <c r="E16" s="9" t="s">
        <v>100</v>
      </c>
      <c r="F16" t="s">
        <v>25</v>
      </c>
      <c r="I16" t="s">
        <v>102</v>
      </c>
      <c r="J16" t="s">
        <v>27</v>
      </c>
      <c r="K16">
        <v>0.1</v>
      </c>
      <c r="L16">
        <v>10</v>
      </c>
      <c r="M16">
        <v>3</v>
      </c>
      <c r="O16" t="s">
        <v>28</v>
      </c>
      <c r="P16" t="s">
        <v>29</v>
      </c>
      <c r="Q16">
        <v>1</v>
      </c>
      <c r="R16">
        <v>5</v>
      </c>
      <c r="S16">
        <v>20</v>
      </c>
      <c r="T16">
        <v>0</v>
      </c>
      <c r="U16" t="s">
        <v>112</v>
      </c>
      <c r="V16">
        <v>0</v>
      </c>
    </row>
    <row r="17" spans="1:22" x14ac:dyDescent="0.25">
      <c r="A17">
        <v>16</v>
      </c>
      <c r="B17" t="s">
        <v>166</v>
      </c>
      <c r="C17" t="str">
        <f t="shared" si="1"/>
        <v>GICSNY-per20d(1)</v>
      </c>
      <c r="D17" t="str">
        <f>IF(ISNA(HLOOKUP(C17,Run1_data!$C$1:$AF$34,1,0)),"","Run1")</f>
        <v/>
      </c>
      <c r="E17" s="9" t="s">
        <v>100</v>
      </c>
      <c r="F17" t="s">
        <v>25</v>
      </c>
      <c r="I17" t="s">
        <v>103</v>
      </c>
      <c r="J17" t="s">
        <v>27</v>
      </c>
      <c r="K17">
        <v>0.1</v>
      </c>
      <c r="L17">
        <v>10</v>
      </c>
      <c r="M17">
        <v>3</v>
      </c>
      <c r="O17" t="s">
        <v>28</v>
      </c>
      <c r="P17" t="s">
        <v>29</v>
      </c>
      <c r="Q17">
        <v>1</v>
      </c>
      <c r="R17">
        <v>5</v>
      </c>
      <c r="S17">
        <v>20</v>
      </c>
      <c r="T17">
        <v>0</v>
      </c>
      <c r="U17" t="s">
        <v>112</v>
      </c>
      <c r="V17">
        <v>0</v>
      </c>
    </row>
    <row r="18" spans="1:22" x14ac:dyDescent="0.25">
      <c r="A18">
        <v>17</v>
      </c>
      <c r="B18" t="s">
        <v>166</v>
      </c>
      <c r="C18" t="str">
        <f t="shared" si="1"/>
        <v>GICSNY-quot1020(1)</v>
      </c>
      <c r="D18" t="str">
        <f>IF(ISNA(HLOOKUP(C18,Run1_data!$C$1:$AF$34,1,0)),"","Run1")</f>
        <v/>
      </c>
      <c r="E18" s="9" t="s">
        <v>100</v>
      </c>
      <c r="F18" t="s">
        <v>25</v>
      </c>
      <c r="I18" t="s">
        <v>104</v>
      </c>
      <c r="J18" t="s">
        <v>27</v>
      </c>
      <c r="K18">
        <v>0.1</v>
      </c>
      <c r="L18">
        <v>10</v>
      </c>
      <c r="M18">
        <v>3</v>
      </c>
      <c r="O18" t="s">
        <v>28</v>
      </c>
      <c r="P18" t="s">
        <v>29</v>
      </c>
      <c r="Q18">
        <v>1</v>
      </c>
      <c r="R18">
        <v>5</v>
      </c>
      <c r="S18">
        <v>20</v>
      </c>
      <c r="T18">
        <v>0</v>
      </c>
      <c r="U18" t="s">
        <v>112</v>
      </c>
      <c r="V18">
        <v>0</v>
      </c>
    </row>
    <row r="19" spans="1:22" x14ac:dyDescent="0.25">
      <c r="A19">
        <v>18</v>
      </c>
      <c r="B19" t="s">
        <v>166</v>
      </c>
      <c r="C19" t="str">
        <f t="shared" si="1"/>
        <v>GICSNY-quot2050(1)</v>
      </c>
      <c r="D19" t="str">
        <f>IF(ISNA(HLOOKUP(C19,Run1_data!$C$1:$AF$34,1,0)),"","Run1")</f>
        <v/>
      </c>
      <c r="E19" s="9" t="s">
        <v>100</v>
      </c>
      <c r="F19" t="s">
        <v>25</v>
      </c>
      <c r="I19" t="s">
        <v>105</v>
      </c>
      <c r="J19" t="s">
        <v>27</v>
      </c>
      <c r="K19">
        <v>0.1</v>
      </c>
      <c r="L19">
        <v>10</v>
      </c>
      <c r="M19">
        <v>3</v>
      </c>
      <c r="O19" t="s">
        <v>28</v>
      </c>
      <c r="P19" t="s">
        <v>29</v>
      </c>
      <c r="Q19">
        <v>1</v>
      </c>
      <c r="R19">
        <v>5</v>
      </c>
      <c r="S19">
        <v>20</v>
      </c>
      <c r="T19">
        <v>0</v>
      </c>
      <c r="U19" t="s">
        <v>112</v>
      </c>
      <c r="V19">
        <v>0</v>
      </c>
    </row>
    <row r="20" spans="1:22" x14ac:dyDescent="0.25">
      <c r="A20">
        <v>19</v>
      </c>
      <c r="B20" t="s">
        <v>166</v>
      </c>
      <c r="C20" t="str">
        <f t="shared" si="1"/>
        <v>GICSNY-sh3m(1)</v>
      </c>
      <c r="D20" t="str">
        <f>IF(ISNA(HLOOKUP(C20,Run1_data!$C$1:$AF$34,1,0)),"","Run1")</f>
        <v/>
      </c>
      <c r="E20" s="9" t="s">
        <v>100</v>
      </c>
      <c r="F20" t="s">
        <v>25</v>
      </c>
      <c r="I20" t="s">
        <v>106</v>
      </c>
      <c r="J20" t="s">
        <v>27</v>
      </c>
      <c r="K20">
        <v>0.1</v>
      </c>
      <c r="L20">
        <v>10</v>
      </c>
      <c r="M20">
        <v>3</v>
      </c>
      <c r="O20" t="s">
        <v>28</v>
      </c>
      <c r="P20" t="s">
        <v>29</v>
      </c>
      <c r="Q20">
        <v>1</v>
      </c>
      <c r="R20">
        <v>5</v>
      </c>
      <c r="S20">
        <v>20</v>
      </c>
      <c r="T20">
        <v>0</v>
      </c>
      <c r="U20" t="s">
        <v>112</v>
      </c>
      <c r="V20">
        <v>0</v>
      </c>
    </row>
    <row r="21" spans="1:22" x14ac:dyDescent="0.25">
      <c r="A21">
        <v>20</v>
      </c>
      <c r="B21" t="s">
        <v>166</v>
      </c>
      <c r="C21" t="str">
        <f t="shared" si="1"/>
        <v>GICSNY-trump(1)</v>
      </c>
      <c r="D21" t="str">
        <f>IF(ISNA(HLOOKUP(C21,Run1_data!$C$1:$AF$34,1,0)),"","Run1")</f>
        <v/>
      </c>
      <c r="E21" s="9" t="s">
        <v>100</v>
      </c>
      <c r="F21" t="s">
        <v>25</v>
      </c>
      <c r="I21" t="s">
        <v>107</v>
      </c>
      <c r="J21" t="s">
        <v>27</v>
      </c>
      <c r="K21">
        <v>0.1</v>
      </c>
      <c r="L21">
        <v>10</v>
      </c>
      <c r="M21">
        <v>3</v>
      </c>
      <c r="O21" t="s">
        <v>28</v>
      </c>
      <c r="P21" t="s">
        <v>29</v>
      </c>
      <c r="Q21">
        <v>1</v>
      </c>
      <c r="R21">
        <v>5</v>
      </c>
      <c r="S21">
        <v>20</v>
      </c>
      <c r="T21">
        <v>0</v>
      </c>
      <c r="U21" t="s">
        <v>112</v>
      </c>
      <c r="V21">
        <v>0</v>
      </c>
    </row>
    <row r="22" spans="1:22" x14ac:dyDescent="0.25">
      <c r="A22">
        <v>21</v>
      </c>
      <c r="B22" t="s">
        <v>166</v>
      </c>
      <c r="C22" t="str">
        <f t="shared" si="1"/>
        <v>GICSNY-vola20d(1)</v>
      </c>
      <c r="D22" t="str">
        <f>IF(ISNA(HLOOKUP(C22,Run1_data!$C$1:$AF$34,1,0)),"","Run1")</f>
        <v/>
      </c>
      <c r="E22" s="9" t="s">
        <v>100</v>
      </c>
      <c r="F22" t="s">
        <v>25</v>
      </c>
      <c r="I22" t="s">
        <v>113</v>
      </c>
      <c r="J22" t="s">
        <v>27</v>
      </c>
      <c r="K22">
        <v>0.1</v>
      </c>
      <c r="L22">
        <v>10</v>
      </c>
      <c r="M22">
        <v>3</v>
      </c>
      <c r="O22" t="s">
        <v>28</v>
      </c>
      <c r="P22" t="s">
        <v>29</v>
      </c>
      <c r="Q22">
        <v>1</v>
      </c>
      <c r="R22">
        <v>5</v>
      </c>
      <c r="S22">
        <v>20</v>
      </c>
      <c r="T22">
        <v>0</v>
      </c>
      <c r="U22" t="s">
        <v>112</v>
      </c>
      <c r="V22">
        <v>0</v>
      </c>
    </row>
    <row r="23" spans="1:22" x14ac:dyDescent="0.25">
      <c r="A23">
        <v>22</v>
      </c>
      <c r="B23" t="s">
        <v>166</v>
      </c>
      <c r="C23" t="str">
        <f t="shared" si="1"/>
        <v>GICSNY-rank(1)</v>
      </c>
      <c r="D23" t="str">
        <f>IF(ISNA(HLOOKUP(C23,Run1_data!$C$1:$AF$34,1,0)),"","Run1")</f>
        <v/>
      </c>
      <c r="E23" s="9" t="s">
        <v>100</v>
      </c>
      <c r="F23" t="s">
        <v>25</v>
      </c>
      <c r="I23" t="s">
        <v>28</v>
      </c>
      <c r="J23" t="s">
        <v>29</v>
      </c>
      <c r="K23">
        <v>0.1</v>
      </c>
      <c r="L23">
        <v>10</v>
      </c>
      <c r="M23">
        <v>3</v>
      </c>
      <c r="O23" t="s">
        <v>28</v>
      </c>
      <c r="P23" t="s">
        <v>29</v>
      </c>
      <c r="Q23">
        <v>1</v>
      </c>
      <c r="R23">
        <v>5</v>
      </c>
      <c r="S23">
        <v>20</v>
      </c>
      <c r="T23">
        <v>0</v>
      </c>
      <c r="U23" t="s">
        <v>112</v>
      </c>
      <c r="V23">
        <v>0</v>
      </c>
    </row>
    <row r="24" spans="1:22" x14ac:dyDescent="0.25">
      <c r="A24">
        <v>23</v>
      </c>
      <c r="B24" t="s">
        <v>166</v>
      </c>
      <c r="C24" t="str">
        <f t="shared" si="1"/>
        <v>GICSNY-median_30d(1)</v>
      </c>
      <c r="D24" t="str">
        <f>IF(ISNA(HLOOKUP(C24,Run1_data!$C$1:$AF$34,1,0)),"","Run1")</f>
        <v/>
      </c>
      <c r="E24" s="9" t="s">
        <v>100</v>
      </c>
      <c r="F24" t="s">
        <v>25</v>
      </c>
      <c r="I24" t="s">
        <v>108</v>
      </c>
      <c r="J24" t="s">
        <v>29</v>
      </c>
      <c r="K24">
        <v>0.1</v>
      </c>
      <c r="L24">
        <v>10</v>
      </c>
      <c r="M24">
        <v>3</v>
      </c>
      <c r="O24" t="s">
        <v>28</v>
      </c>
      <c r="P24" t="s">
        <v>29</v>
      </c>
      <c r="Q24">
        <v>1</v>
      </c>
      <c r="R24">
        <v>5</v>
      </c>
      <c r="S24">
        <v>20</v>
      </c>
      <c r="T24">
        <v>0</v>
      </c>
      <c r="U24" t="s">
        <v>112</v>
      </c>
      <c r="V24">
        <v>0</v>
      </c>
    </row>
    <row r="25" spans="1:22" x14ac:dyDescent="0.25">
      <c r="A25">
        <v>24</v>
      </c>
      <c r="B25" t="s">
        <v>166</v>
      </c>
      <c r="C25" t="str">
        <f t="shared" si="1"/>
        <v>GICSNY-spr100d(1)</v>
      </c>
      <c r="D25" t="str">
        <f>IF(ISNA(HLOOKUP(C25,Run1_data!$C$1:$AF$34,1,0)),"","Run1")</f>
        <v/>
      </c>
      <c r="E25" s="9" t="s">
        <v>100</v>
      </c>
      <c r="F25" t="s">
        <v>25</v>
      </c>
      <c r="I25" t="s">
        <v>30</v>
      </c>
      <c r="J25" t="s">
        <v>29</v>
      </c>
      <c r="K25">
        <v>0.1</v>
      </c>
      <c r="L25">
        <v>10</v>
      </c>
      <c r="M25">
        <v>3</v>
      </c>
      <c r="O25" t="s">
        <v>28</v>
      </c>
      <c r="P25" t="s">
        <v>29</v>
      </c>
      <c r="Q25">
        <v>1</v>
      </c>
      <c r="R25">
        <v>5</v>
      </c>
      <c r="S25">
        <v>20</v>
      </c>
      <c r="T25">
        <v>0</v>
      </c>
      <c r="U25" t="s">
        <v>112</v>
      </c>
      <c r="V25">
        <v>0</v>
      </c>
    </row>
    <row r="26" spans="1:22" x14ac:dyDescent="0.25">
      <c r="A26">
        <v>25</v>
      </c>
      <c r="B26" t="s">
        <v>166</v>
      </c>
      <c r="C26" t="str">
        <f t="shared" ref="C26:C37" si="2">"ZONE-"&amp;I26&amp;"("&amp;Q26&amp;")"</f>
        <v>ZONE-rsi(1)</v>
      </c>
      <c r="D26" t="str">
        <f>IF(ISNA(HLOOKUP(C26,Run1_data!$C$1:$AF$34,1,0)),"","Run1")</f>
        <v/>
      </c>
      <c r="E26" t="s">
        <v>110</v>
      </c>
      <c r="F26" t="s">
        <v>25</v>
      </c>
      <c r="I26" t="s">
        <v>26</v>
      </c>
      <c r="J26" t="s">
        <v>27</v>
      </c>
      <c r="K26">
        <v>0.1</v>
      </c>
      <c r="L26">
        <v>10</v>
      </c>
      <c r="M26">
        <v>3</v>
      </c>
      <c r="O26" t="s">
        <v>28</v>
      </c>
      <c r="P26" t="s">
        <v>29</v>
      </c>
      <c r="Q26">
        <v>1</v>
      </c>
      <c r="R26">
        <v>5</v>
      </c>
      <c r="S26">
        <v>20</v>
      </c>
      <c r="T26">
        <v>0</v>
      </c>
      <c r="U26" t="s">
        <v>112</v>
      </c>
      <c r="V26">
        <v>0</v>
      </c>
    </row>
    <row r="27" spans="1:22" x14ac:dyDescent="0.25">
      <c r="A27">
        <v>26</v>
      </c>
      <c r="B27" t="s">
        <v>166</v>
      </c>
      <c r="C27" t="str">
        <f t="shared" si="2"/>
        <v>ZONE-beta3m(1)</v>
      </c>
      <c r="D27" t="str">
        <f>IF(ISNA(HLOOKUP(C27,Run1_data!$C$1:$AF$34,1,0)),"","Run1")</f>
        <v/>
      </c>
      <c r="E27" t="s">
        <v>110</v>
      </c>
      <c r="F27" t="s">
        <v>25</v>
      </c>
      <c r="I27" t="s">
        <v>101</v>
      </c>
      <c r="J27" t="s">
        <v>27</v>
      </c>
      <c r="K27">
        <v>0.1</v>
      </c>
      <c r="L27">
        <v>10</v>
      </c>
      <c r="M27">
        <v>3</v>
      </c>
      <c r="O27" t="s">
        <v>28</v>
      </c>
      <c r="P27" t="s">
        <v>29</v>
      </c>
      <c r="Q27">
        <v>1</v>
      </c>
      <c r="R27">
        <v>5</v>
      </c>
      <c r="S27">
        <v>20</v>
      </c>
      <c r="T27">
        <v>0</v>
      </c>
      <c r="U27" t="s">
        <v>112</v>
      </c>
      <c r="V27">
        <v>0</v>
      </c>
    </row>
    <row r="28" spans="1:22" x14ac:dyDescent="0.25">
      <c r="A28">
        <v>27</v>
      </c>
      <c r="B28" t="s">
        <v>166</v>
      </c>
      <c r="C28" t="str">
        <f t="shared" si="2"/>
        <v>ZONE-PdivMA20(1)</v>
      </c>
      <c r="D28" t="str">
        <f>IF(ISNA(HLOOKUP(C28,Run1_data!$C$1:$AF$34,1,0)),"","Run1")</f>
        <v/>
      </c>
      <c r="E28" t="s">
        <v>110</v>
      </c>
      <c r="F28" t="s">
        <v>25</v>
      </c>
      <c r="I28" t="s">
        <v>102</v>
      </c>
      <c r="J28" t="s">
        <v>27</v>
      </c>
      <c r="K28">
        <v>0.1</v>
      </c>
      <c r="L28">
        <v>10</v>
      </c>
      <c r="M28">
        <v>3</v>
      </c>
      <c r="O28" t="s">
        <v>28</v>
      </c>
      <c r="P28" t="s">
        <v>29</v>
      </c>
      <c r="Q28">
        <v>1</v>
      </c>
      <c r="R28">
        <v>5</v>
      </c>
      <c r="S28">
        <v>20</v>
      </c>
      <c r="T28">
        <v>0</v>
      </c>
      <c r="U28" t="s">
        <v>112</v>
      </c>
      <c r="V28">
        <v>0</v>
      </c>
    </row>
    <row r="29" spans="1:22" x14ac:dyDescent="0.25">
      <c r="A29">
        <v>28</v>
      </c>
      <c r="B29" t="s">
        <v>166</v>
      </c>
      <c r="C29" t="str">
        <f t="shared" si="2"/>
        <v>ZONE-per20d(1)</v>
      </c>
      <c r="D29" t="str">
        <f>IF(ISNA(HLOOKUP(C29,Run1_data!$C$1:$AF$34,1,0)),"","Run1")</f>
        <v/>
      </c>
      <c r="E29" t="s">
        <v>110</v>
      </c>
      <c r="F29" t="s">
        <v>25</v>
      </c>
      <c r="I29" t="s">
        <v>103</v>
      </c>
      <c r="J29" t="s">
        <v>27</v>
      </c>
      <c r="K29">
        <v>0.1</v>
      </c>
      <c r="L29">
        <v>10</v>
      </c>
      <c r="M29">
        <v>3</v>
      </c>
      <c r="O29" t="s">
        <v>28</v>
      </c>
      <c r="P29" t="s">
        <v>29</v>
      </c>
      <c r="Q29">
        <v>1</v>
      </c>
      <c r="R29">
        <v>5</v>
      </c>
      <c r="S29">
        <v>20</v>
      </c>
      <c r="T29">
        <v>0</v>
      </c>
      <c r="U29" t="s">
        <v>112</v>
      </c>
      <c r="V29">
        <v>0</v>
      </c>
    </row>
    <row r="30" spans="1:22" x14ac:dyDescent="0.25">
      <c r="A30">
        <v>29</v>
      </c>
      <c r="B30" t="s">
        <v>166</v>
      </c>
      <c r="C30" t="str">
        <f t="shared" si="2"/>
        <v>ZONE-quot1020(1)</v>
      </c>
      <c r="D30" t="str">
        <f>IF(ISNA(HLOOKUP(C30,Run1_data!$C$1:$AF$34,1,0)),"","Run1")</f>
        <v/>
      </c>
      <c r="E30" t="s">
        <v>110</v>
      </c>
      <c r="F30" t="s">
        <v>25</v>
      </c>
      <c r="I30" t="s">
        <v>104</v>
      </c>
      <c r="J30" t="s">
        <v>27</v>
      </c>
      <c r="K30">
        <v>0.1</v>
      </c>
      <c r="L30">
        <v>10</v>
      </c>
      <c r="M30">
        <v>3</v>
      </c>
      <c r="O30" t="s">
        <v>28</v>
      </c>
      <c r="P30" t="s">
        <v>29</v>
      </c>
      <c r="Q30">
        <v>1</v>
      </c>
      <c r="R30">
        <v>5</v>
      </c>
      <c r="S30">
        <v>20</v>
      </c>
      <c r="T30">
        <v>0</v>
      </c>
      <c r="U30" t="s">
        <v>112</v>
      </c>
      <c r="V30">
        <v>0</v>
      </c>
    </row>
    <row r="31" spans="1:22" x14ac:dyDescent="0.25">
      <c r="A31">
        <v>30</v>
      </c>
      <c r="B31" t="s">
        <v>166</v>
      </c>
      <c r="C31" t="str">
        <f t="shared" si="2"/>
        <v>ZONE-quot2050(1)</v>
      </c>
      <c r="D31" t="str">
        <f>IF(ISNA(HLOOKUP(C31,Run1_data!$C$1:$AF$34,1,0)),"","Run1")</f>
        <v/>
      </c>
      <c r="E31" t="s">
        <v>110</v>
      </c>
      <c r="F31" t="s">
        <v>25</v>
      </c>
      <c r="I31" t="s">
        <v>105</v>
      </c>
      <c r="J31" t="s">
        <v>27</v>
      </c>
      <c r="K31">
        <v>0.1</v>
      </c>
      <c r="L31">
        <v>10</v>
      </c>
      <c r="M31">
        <v>3</v>
      </c>
      <c r="O31" t="s">
        <v>28</v>
      </c>
      <c r="P31" t="s">
        <v>29</v>
      </c>
      <c r="Q31">
        <v>1</v>
      </c>
      <c r="R31">
        <v>5</v>
      </c>
      <c r="S31">
        <v>20</v>
      </c>
      <c r="T31">
        <v>0</v>
      </c>
      <c r="U31" t="s">
        <v>112</v>
      </c>
      <c r="V31">
        <v>0</v>
      </c>
    </row>
    <row r="32" spans="1:22" x14ac:dyDescent="0.25">
      <c r="A32">
        <v>31</v>
      </c>
      <c r="B32" t="s">
        <v>166</v>
      </c>
      <c r="C32" t="str">
        <f t="shared" si="2"/>
        <v>ZONE-sh3m(1)</v>
      </c>
      <c r="D32" t="str">
        <f>IF(ISNA(HLOOKUP(C32,Run1_data!$C$1:$AF$34,1,0)),"","Run1")</f>
        <v/>
      </c>
      <c r="E32" t="s">
        <v>110</v>
      </c>
      <c r="F32" t="s">
        <v>25</v>
      </c>
      <c r="I32" t="s">
        <v>106</v>
      </c>
      <c r="J32" t="s">
        <v>27</v>
      </c>
      <c r="K32">
        <v>0.1</v>
      </c>
      <c r="L32">
        <v>10</v>
      </c>
      <c r="M32">
        <v>3</v>
      </c>
      <c r="O32" t="s">
        <v>28</v>
      </c>
      <c r="P32" t="s">
        <v>29</v>
      </c>
      <c r="Q32">
        <v>1</v>
      </c>
      <c r="R32">
        <v>5</v>
      </c>
      <c r="S32">
        <v>20</v>
      </c>
      <c r="T32">
        <v>0</v>
      </c>
      <c r="U32" t="s">
        <v>112</v>
      </c>
      <c r="V32">
        <v>0</v>
      </c>
    </row>
    <row r="33" spans="1:22" x14ac:dyDescent="0.25">
      <c r="A33">
        <v>32</v>
      </c>
      <c r="B33" t="s">
        <v>166</v>
      </c>
      <c r="C33" t="str">
        <f t="shared" si="2"/>
        <v>ZONE-trump(1)</v>
      </c>
      <c r="D33" t="str">
        <f>IF(ISNA(HLOOKUP(C33,Run1_data!$C$1:$AF$34,1,0)),"","Run1")</f>
        <v/>
      </c>
      <c r="E33" t="s">
        <v>110</v>
      </c>
      <c r="F33" t="s">
        <v>25</v>
      </c>
      <c r="I33" t="s">
        <v>107</v>
      </c>
      <c r="J33" t="s">
        <v>27</v>
      </c>
      <c r="K33">
        <v>0.1</v>
      </c>
      <c r="L33">
        <v>10</v>
      </c>
      <c r="M33">
        <v>3</v>
      </c>
      <c r="O33" t="s">
        <v>28</v>
      </c>
      <c r="P33" t="s">
        <v>29</v>
      </c>
      <c r="Q33">
        <v>1</v>
      </c>
      <c r="R33">
        <v>5</v>
      </c>
      <c r="S33">
        <v>20</v>
      </c>
      <c r="T33">
        <v>0</v>
      </c>
      <c r="U33" t="s">
        <v>112</v>
      </c>
      <c r="V33">
        <v>0</v>
      </c>
    </row>
    <row r="34" spans="1:22" x14ac:dyDescent="0.25">
      <c r="A34">
        <v>33</v>
      </c>
      <c r="B34" t="s">
        <v>166</v>
      </c>
      <c r="C34" t="str">
        <f t="shared" si="2"/>
        <v>ZONE-vola20d(1)</v>
      </c>
      <c r="D34" t="str">
        <f>IF(ISNA(HLOOKUP(C34,Run1_data!$C$1:$AF$34,1,0)),"","Run1")</f>
        <v/>
      </c>
      <c r="E34" t="s">
        <v>110</v>
      </c>
      <c r="F34" t="s">
        <v>25</v>
      </c>
      <c r="I34" t="s">
        <v>113</v>
      </c>
      <c r="J34" t="s">
        <v>27</v>
      </c>
      <c r="K34">
        <v>0.1</v>
      </c>
      <c r="L34">
        <v>10</v>
      </c>
      <c r="M34">
        <v>3</v>
      </c>
      <c r="O34" t="s">
        <v>28</v>
      </c>
      <c r="P34" t="s">
        <v>29</v>
      </c>
      <c r="Q34">
        <v>1</v>
      </c>
      <c r="R34">
        <v>5</v>
      </c>
      <c r="S34">
        <v>20</v>
      </c>
      <c r="T34">
        <v>0</v>
      </c>
      <c r="U34" t="s">
        <v>112</v>
      </c>
      <c r="V34">
        <v>0</v>
      </c>
    </row>
    <row r="35" spans="1:22" x14ac:dyDescent="0.25">
      <c r="A35">
        <v>34</v>
      </c>
      <c r="B35" t="s">
        <v>166</v>
      </c>
      <c r="C35" t="str">
        <f t="shared" si="2"/>
        <v>ZONE-rank(1)</v>
      </c>
      <c r="D35" t="str">
        <f>IF(ISNA(HLOOKUP(C35,Run1_data!$C$1:$AF$34,1,0)),"","Run1")</f>
        <v/>
      </c>
      <c r="E35" t="s">
        <v>110</v>
      </c>
      <c r="F35" t="s">
        <v>25</v>
      </c>
      <c r="I35" t="s">
        <v>28</v>
      </c>
      <c r="J35" t="s">
        <v>29</v>
      </c>
      <c r="K35">
        <v>0.1</v>
      </c>
      <c r="L35">
        <v>10</v>
      </c>
      <c r="M35">
        <v>3</v>
      </c>
      <c r="O35" t="s">
        <v>28</v>
      </c>
      <c r="P35" t="s">
        <v>29</v>
      </c>
      <c r="Q35">
        <v>1</v>
      </c>
      <c r="R35">
        <v>5</v>
      </c>
      <c r="S35">
        <v>20</v>
      </c>
      <c r="T35">
        <v>0</v>
      </c>
      <c r="U35" t="s">
        <v>112</v>
      </c>
      <c r="V35">
        <v>0</v>
      </c>
    </row>
    <row r="36" spans="1:22" x14ac:dyDescent="0.25">
      <c r="A36">
        <v>35</v>
      </c>
      <c r="B36" t="s">
        <v>166</v>
      </c>
      <c r="C36" t="str">
        <f t="shared" si="2"/>
        <v>ZONE-median_30d(1)</v>
      </c>
      <c r="D36" t="str">
        <f>IF(ISNA(HLOOKUP(C36,Run1_data!$C$1:$AF$34,1,0)),"","Run1")</f>
        <v/>
      </c>
      <c r="E36" t="s">
        <v>110</v>
      </c>
      <c r="F36" t="s">
        <v>25</v>
      </c>
      <c r="I36" t="s">
        <v>108</v>
      </c>
      <c r="J36" t="s">
        <v>29</v>
      </c>
      <c r="K36">
        <v>0.1</v>
      </c>
      <c r="L36">
        <v>10</v>
      </c>
      <c r="M36">
        <v>3</v>
      </c>
      <c r="O36" t="s">
        <v>28</v>
      </c>
      <c r="P36" t="s">
        <v>29</v>
      </c>
      <c r="Q36">
        <v>1</v>
      </c>
      <c r="R36">
        <v>5</v>
      </c>
      <c r="S36">
        <v>20</v>
      </c>
      <c r="T36">
        <v>0</v>
      </c>
      <c r="U36" t="s">
        <v>112</v>
      </c>
      <c r="V36">
        <v>0</v>
      </c>
    </row>
    <row r="37" spans="1:22" x14ac:dyDescent="0.25">
      <c r="A37">
        <v>36</v>
      </c>
      <c r="B37" t="s">
        <v>166</v>
      </c>
      <c r="C37" t="str">
        <f t="shared" si="2"/>
        <v>ZONE-spr100d(1)</v>
      </c>
      <c r="D37" t="str">
        <f>IF(ISNA(HLOOKUP(C37,Run1_data!$C$1:$AF$34,1,0)),"","Run1")</f>
        <v/>
      </c>
      <c r="E37" t="s">
        <v>110</v>
      </c>
      <c r="F37" t="s">
        <v>25</v>
      </c>
      <c r="I37" t="s">
        <v>30</v>
      </c>
      <c r="J37" t="s">
        <v>29</v>
      </c>
      <c r="K37">
        <v>0.1</v>
      </c>
      <c r="L37">
        <v>10</v>
      </c>
      <c r="M37">
        <v>3</v>
      </c>
      <c r="O37" t="s">
        <v>28</v>
      </c>
      <c r="P37" t="s">
        <v>29</v>
      </c>
      <c r="Q37">
        <v>1</v>
      </c>
      <c r="R37">
        <v>5</v>
      </c>
      <c r="S37">
        <v>20</v>
      </c>
      <c r="T37">
        <v>0</v>
      </c>
      <c r="U37" t="s">
        <v>112</v>
      </c>
      <c r="V37">
        <v>0</v>
      </c>
    </row>
    <row r="38" spans="1:22" x14ac:dyDescent="0.25">
      <c r="A38">
        <v>37</v>
      </c>
      <c r="B38" t="s">
        <v>166</v>
      </c>
      <c r="C38" t="str">
        <f t="shared" ref="C38:C49" si="3">"FKgrade-"&amp;I38&amp;"("&amp;Q38&amp;")"</f>
        <v>FKgrade-rsi(1)</v>
      </c>
      <c r="D38" t="str">
        <f>IF(ISNA(HLOOKUP(C38,Run1_data!$C$1:$AF$34,1,0)),"","Run1")</f>
        <v/>
      </c>
      <c r="E38" s="10" t="s">
        <v>111</v>
      </c>
      <c r="F38" t="s">
        <v>25</v>
      </c>
      <c r="I38" t="s">
        <v>26</v>
      </c>
      <c r="J38" t="s">
        <v>27</v>
      </c>
      <c r="K38">
        <v>0.1</v>
      </c>
      <c r="L38">
        <v>10</v>
      </c>
      <c r="M38">
        <v>3</v>
      </c>
      <c r="O38" t="s">
        <v>28</v>
      </c>
      <c r="P38" t="s">
        <v>29</v>
      </c>
      <c r="Q38">
        <v>1</v>
      </c>
      <c r="R38">
        <v>5</v>
      </c>
      <c r="S38">
        <v>20</v>
      </c>
      <c r="T38">
        <v>0</v>
      </c>
      <c r="U38" t="s">
        <v>112</v>
      </c>
      <c r="V38">
        <v>0</v>
      </c>
    </row>
    <row r="39" spans="1:22" x14ac:dyDescent="0.25">
      <c r="A39">
        <v>38</v>
      </c>
      <c r="B39" t="s">
        <v>166</v>
      </c>
      <c r="C39" t="str">
        <f t="shared" si="3"/>
        <v>FKgrade-beta3m(1)</v>
      </c>
      <c r="D39" t="str">
        <f>IF(ISNA(HLOOKUP(C39,Run1_data!$C$1:$AF$34,1,0)),"","Run1")</f>
        <v/>
      </c>
      <c r="E39" s="10" t="s">
        <v>111</v>
      </c>
      <c r="F39" t="s">
        <v>25</v>
      </c>
      <c r="I39" t="s">
        <v>101</v>
      </c>
      <c r="J39" t="s">
        <v>27</v>
      </c>
      <c r="K39">
        <v>0.1</v>
      </c>
      <c r="L39">
        <v>10</v>
      </c>
      <c r="M39">
        <v>3</v>
      </c>
      <c r="O39" t="s">
        <v>28</v>
      </c>
      <c r="P39" t="s">
        <v>29</v>
      </c>
      <c r="Q39">
        <v>1</v>
      </c>
      <c r="R39">
        <v>5</v>
      </c>
      <c r="S39">
        <v>20</v>
      </c>
      <c r="T39">
        <v>0</v>
      </c>
      <c r="U39" t="s">
        <v>112</v>
      </c>
      <c r="V39">
        <v>0</v>
      </c>
    </row>
    <row r="40" spans="1:22" x14ac:dyDescent="0.25">
      <c r="A40">
        <v>39</v>
      </c>
      <c r="B40" t="s">
        <v>166</v>
      </c>
      <c r="C40" t="str">
        <f t="shared" si="3"/>
        <v>FKgrade-PdivMA20(1)</v>
      </c>
      <c r="D40" t="str">
        <f>IF(ISNA(HLOOKUP(C40,Run1_data!$C$1:$AF$34,1,0)),"","Run1")</f>
        <v/>
      </c>
      <c r="E40" s="10" t="s">
        <v>111</v>
      </c>
      <c r="F40" t="s">
        <v>25</v>
      </c>
      <c r="I40" t="s">
        <v>102</v>
      </c>
      <c r="J40" t="s">
        <v>27</v>
      </c>
      <c r="K40">
        <v>0.1</v>
      </c>
      <c r="L40">
        <v>10</v>
      </c>
      <c r="M40">
        <v>3</v>
      </c>
      <c r="O40" t="s">
        <v>28</v>
      </c>
      <c r="P40" t="s">
        <v>29</v>
      </c>
      <c r="Q40">
        <v>1</v>
      </c>
      <c r="R40">
        <v>5</v>
      </c>
      <c r="S40">
        <v>20</v>
      </c>
      <c r="T40">
        <v>0</v>
      </c>
      <c r="U40" t="s">
        <v>112</v>
      </c>
      <c r="V40">
        <v>0</v>
      </c>
    </row>
    <row r="41" spans="1:22" x14ac:dyDescent="0.25">
      <c r="A41">
        <v>40</v>
      </c>
      <c r="B41" t="s">
        <v>166</v>
      </c>
      <c r="C41" t="str">
        <f t="shared" si="3"/>
        <v>FKgrade-per20d(1)</v>
      </c>
      <c r="D41" t="str">
        <f>IF(ISNA(HLOOKUP(C41,Run1_data!$C$1:$AF$34,1,0)),"","Run1")</f>
        <v/>
      </c>
      <c r="E41" s="10" t="s">
        <v>111</v>
      </c>
      <c r="F41" t="s">
        <v>25</v>
      </c>
      <c r="I41" t="s">
        <v>103</v>
      </c>
      <c r="J41" t="s">
        <v>27</v>
      </c>
      <c r="K41">
        <v>0.1</v>
      </c>
      <c r="L41">
        <v>10</v>
      </c>
      <c r="M41">
        <v>3</v>
      </c>
      <c r="O41" t="s">
        <v>28</v>
      </c>
      <c r="P41" t="s">
        <v>29</v>
      </c>
      <c r="Q41">
        <v>1</v>
      </c>
      <c r="R41">
        <v>5</v>
      </c>
      <c r="S41">
        <v>20</v>
      </c>
      <c r="T41">
        <v>0</v>
      </c>
      <c r="U41" t="s">
        <v>112</v>
      </c>
      <c r="V41">
        <v>0</v>
      </c>
    </row>
    <row r="42" spans="1:22" x14ac:dyDescent="0.25">
      <c r="A42">
        <v>41</v>
      </c>
      <c r="B42" t="s">
        <v>166</v>
      </c>
      <c r="C42" t="str">
        <f t="shared" si="3"/>
        <v>FKgrade-quot1020(1)</v>
      </c>
      <c r="D42" t="str">
        <f>IF(ISNA(HLOOKUP(C42,Run1_data!$C$1:$AF$34,1,0)),"","Run1")</f>
        <v/>
      </c>
      <c r="E42" s="10" t="s">
        <v>111</v>
      </c>
      <c r="F42" t="s">
        <v>25</v>
      </c>
      <c r="I42" t="s">
        <v>104</v>
      </c>
      <c r="J42" t="s">
        <v>27</v>
      </c>
      <c r="K42">
        <v>0.1</v>
      </c>
      <c r="L42">
        <v>10</v>
      </c>
      <c r="M42">
        <v>3</v>
      </c>
      <c r="O42" t="s">
        <v>28</v>
      </c>
      <c r="P42" t="s">
        <v>29</v>
      </c>
      <c r="Q42">
        <v>1</v>
      </c>
      <c r="R42">
        <v>5</v>
      </c>
      <c r="S42">
        <v>20</v>
      </c>
      <c r="T42">
        <v>0</v>
      </c>
      <c r="U42" t="s">
        <v>112</v>
      </c>
      <c r="V42">
        <v>0</v>
      </c>
    </row>
    <row r="43" spans="1:22" x14ac:dyDescent="0.25">
      <c r="A43">
        <v>42</v>
      </c>
      <c r="B43" t="s">
        <v>166</v>
      </c>
      <c r="C43" t="str">
        <f t="shared" si="3"/>
        <v>FKgrade-quot2050(1)</v>
      </c>
      <c r="D43" t="str">
        <f>IF(ISNA(HLOOKUP(C43,Run1_data!$C$1:$AF$34,1,0)),"","Run1")</f>
        <v/>
      </c>
      <c r="E43" s="10" t="s">
        <v>111</v>
      </c>
      <c r="F43" t="s">
        <v>25</v>
      </c>
      <c r="I43" t="s">
        <v>105</v>
      </c>
      <c r="J43" t="s">
        <v>27</v>
      </c>
      <c r="K43">
        <v>0.1</v>
      </c>
      <c r="L43">
        <v>10</v>
      </c>
      <c r="M43">
        <v>3</v>
      </c>
      <c r="O43" t="s">
        <v>28</v>
      </c>
      <c r="P43" t="s">
        <v>29</v>
      </c>
      <c r="Q43">
        <v>1</v>
      </c>
      <c r="R43">
        <v>5</v>
      </c>
      <c r="S43">
        <v>20</v>
      </c>
      <c r="T43">
        <v>0</v>
      </c>
      <c r="U43" t="s">
        <v>112</v>
      </c>
      <c r="V43">
        <v>0</v>
      </c>
    </row>
    <row r="44" spans="1:22" x14ac:dyDescent="0.25">
      <c r="A44">
        <v>43</v>
      </c>
      <c r="B44" t="s">
        <v>166</v>
      </c>
      <c r="C44" t="str">
        <f t="shared" si="3"/>
        <v>FKgrade-sh3m(1)</v>
      </c>
      <c r="D44" t="str">
        <f>IF(ISNA(HLOOKUP(C44,Run1_data!$C$1:$AF$34,1,0)),"","Run1")</f>
        <v/>
      </c>
      <c r="E44" s="10" t="s">
        <v>111</v>
      </c>
      <c r="F44" t="s">
        <v>25</v>
      </c>
      <c r="I44" t="s">
        <v>106</v>
      </c>
      <c r="J44" t="s">
        <v>27</v>
      </c>
      <c r="K44">
        <v>0.1</v>
      </c>
      <c r="L44">
        <v>10</v>
      </c>
      <c r="M44">
        <v>3</v>
      </c>
      <c r="O44" t="s">
        <v>28</v>
      </c>
      <c r="P44" t="s">
        <v>29</v>
      </c>
      <c r="Q44">
        <v>1</v>
      </c>
      <c r="R44">
        <v>5</v>
      </c>
      <c r="S44">
        <v>20</v>
      </c>
      <c r="T44">
        <v>0</v>
      </c>
      <c r="U44" t="s">
        <v>112</v>
      </c>
      <c r="V44">
        <v>0</v>
      </c>
    </row>
    <row r="45" spans="1:22" x14ac:dyDescent="0.25">
      <c r="A45">
        <v>44</v>
      </c>
      <c r="B45" t="s">
        <v>166</v>
      </c>
      <c r="C45" t="str">
        <f t="shared" si="3"/>
        <v>FKgrade-trump(1)</v>
      </c>
      <c r="D45" t="str">
        <f>IF(ISNA(HLOOKUP(C45,Run1_data!$C$1:$AF$34,1,0)),"","Run1")</f>
        <v/>
      </c>
      <c r="E45" s="10" t="s">
        <v>111</v>
      </c>
      <c r="F45" t="s">
        <v>25</v>
      </c>
      <c r="I45" t="s">
        <v>107</v>
      </c>
      <c r="J45" t="s">
        <v>27</v>
      </c>
      <c r="K45">
        <v>0.1</v>
      </c>
      <c r="L45">
        <v>10</v>
      </c>
      <c r="M45">
        <v>3</v>
      </c>
      <c r="O45" t="s">
        <v>28</v>
      </c>
      <c r="P45" t="s">
        <v>29</v>
      </c>
      <c r="Q45">
        <v>1</v>
      </c>
      <c r="R45">
        <v>5</v>
      </c>
      <c r="S45">
        <v>20</v>
      </c>
      <c r="T45">
        <v>0</v>
      </c>
      <c r="U45" t="s">
        <v>112</v>
      </c>
      <c r="V45">
        <v>0</v>
      </c>
    </row>
    <row r="46" spans="1:22" x14ac:dyDescent="0.25">
      <c r="A46">
        <v>45</v>
      </c>
      <c r="B46" t="s">
        <v>166</v>
      </c>
      <c r="C46" t="str">
        <f t="shared" si="3"/>
        <v>FKgrade-vola20d(1)</v>
      </c>
      <c r="D46" t="str">
        <f>IF(ISNA(HLOOKUP(C46,Run1_data!$C$1:$AF$34,1,0)),"","Run1")</f>
        <v/>
      </c>
      <c r="E46" s="10" t="s">
        <v>111</v>
      </c>
      <c r="F46" t="s">
        <v>25</v>
      </c>
      <c r="I46" t="s">
        <v>113</v>
      </c>
      <c r="J46" t="s">
        <v>27</v>
      </c>
      <c r="K46">
        <v>0.1</v>
      </c>
      <c r="L46">
        <v>10</v>
      </c>
      <c r="M46">
        <v>3</v>
      </c>
      <c r="O46" t="s">
        <v>28</v>
      </c>
      <c r="P46" t="s">
        <v>29</v>
      </c>
      <c r="Q46">
        <v>1</v>
      </c>
      <c r="R46">
        <v>5</v>
      </c>
      <c r="S46">
        <v>20</v>
      </c>
      <c r="T46">
        <v>0</v>
      </c>
      <c r="U46" t="s">
        <v>112</v>
      </c>
      <c r="V46">
        <v>0</v>
      </c>
    </row>
    <row r="47" spans="1:22" x14ac:dyDescent="0.25">
      <c r="A47">
        <v>46</v>
      </c>
      <c r="B47" t="s">
        <v>166</v>
      </c>
      <c r="C47" t="str">
        <f t="shared" si="3"/>
        <v>FKgrade-rank(1)</v>
      </c>
      <c r="D47" t="str">
        <f>IF(ISNA(HLOOKUP(C47,Run1_data!$C$1:$AF$34,1,0)),"","Run1")</f>
        <v/>
      </c>
      <c r="E47" s="10" t="s">
        <v>111</v>
      </c>
      <c r="F47" t="s">
        <v>25</v>
      </c>
      <c r="I47" t="s">
        <v>28</v>
      </c>
      <c r="J47" t="s">
        <v>29</v>
      </c>
      <c r="K47">
        <v>0.1</v>
      </c>
      <c r="L47">
        <v>10</v>
      </c>
      <c r="M47">
        <v>3</v>
      </c>
      <c r="O47" t="s">
        <v>28</v>
      </c>
      <c r="P47" t="s">
        <v>29</v>
      </c>
      <c r="Q47">
        <v>1</v>
      </c>
      <c r="R47">
        <v>5</v>
      </c>
      <c r="S47">
        <v>20</v>
      </c>
      <c r="T47">
        <v>0</v>
      </c>
      <c r="U47" t="s">
        <v>112</v>
      </c>
      <c r="V47">
        <v>0</v>
      </c>
    </row>
    <row r="48" spans="1:22" x14ac:dyDescent="0.25">
      <c r="A48">
        <v>47</v>
      </c>
      <c r="B48" t="s">
        <v>166</v>
      </c>
      <c r="C48" t="str">
        <f t="shared" si="3"/>
        <v>FKgrade-median_30d(1)</v>
      </c>
      <c r="D48" t="str">
        <f>IF(ISNA(HLOOKUP(C48,Run1_data!$C$1:$AF$34,1,0)),"","Run1")</f>
        <v/>
      </c>
      <c r="E48" s="10" t="s">
        <v>111</v>
      </c>
      <c r="F48" t="s">
        <v>25</v>
      </c>
      <c r="I48" t="s">
        <v>108</v>
      </c>
      <c r="J48" t="s">
        <v>29</v>
      </c>
      <c r="K48">
        <v>0.1</v>
      </c>
      <c r="L48">
        <v>10</v>
      </c>
      <c r="M48">
        <v>3</v>
      </c>
      <c r="O48" t="s">
        <v>28</v>
      </c>
      <c r="P48" t="s">
        <v>29</v>
      </c>
      <c r="Q48">
        <v>1</v>
      </c>
      <c r="R48">
        <v>5</v>
      </c>
      <c r="S48">
        <v>20</v>
      </c>
      <c r="T48">
        <v>0</v>
      </c>
      <c r="U48" t="s">
        <v>112</v>
      </c>
      <c r="V48">
        <v>0</v>
      </c>
    </row>
    <row r="49" spans="1:22" x14ac:dyDescent="0.25">
      <c r="A49">
        <v>48</v>
      </c>
      <c r="B49" t="s">
        <v>166</v>
      </c>
      <c r="C49" t="str">
        <f t="shared" si="3"/>
        <v>FKgrade-spr100d(1)</v>
      </c>
      <c r="D49" t="str">
        <f>IF(ISNA(HLOOKUP(C49,Run1_data!$C$1:$AF$34,1,0)),"","Run1")</f>
        <v/>
      </c>
      <c r="E49" s="10" t="s">
        <v>111</v>
      </c>
      <c r="F49" t="s">
        <v>25</v>
      </c>
      <c r="I49" t="s">
        <v>30</v>
      </c>
      <c r="J49" t="s">
        <v>29</v>
      </c>
      <c r="K49">
        <v>0.1</v>
      </c>
      <c r="L49">
        <v>10</v>
      </c>
      <c r="M49">
        <v>3</v>
      </c>
      <c r="O49" t="s">
        <v>28</v>
      </c>
      <c r="P49" t="s">
        <v>29</v>
      </c>
      <c r="Q49">
        <v>1</v>
      </c>
      <c r="R49">
        <v>5</v>
      </c>
      <c r="S49">
        <v>20</v>
      </c>
      <c r="T49">
        <v>0</v>
      </c>
      <c r="U49" t="s">
        <v>112</v>
      </c>
      <c r="V49">
        <v>0</v>
      </c>
    </row>
    <row r="50" spans="1:22" x14ac:dyDescent="0.25">
      <c r="A50">
        <v>49</v>
      </c>
      <c r="B50" t="s">
        <v>166</v>
      </c>
      <c r="C50" t="str">
        <f t="shared" ref="C50:C61" si="4">"GICS-"&amp;I50&amp;"("&amp;Q50&amp;")"</f>
        <v>GICS-rsi(-1)</v>
      </c>
      <c r="D50" t="str">
        <f>IF(ISNA(HLOOKUP(C50,Run1_data!$C$1:$AF$34,1,0)),"","Run1")</f>
        <v>Run1</v>
      </c>
      <c r="E50" t="s">
        <v>24</v>
      </c>
      <c r="F50" t="s">
        <v>25</v>
      </c>
      <c r="I50" t="s">
        <v>26</v>
      </c>
      <c r="J50" t="s">
        <v>27</v>
      </c>
      <c r="K50">
        <v>0.1</v>
      </c>
      <c r="L50">
        <v>10</v>
      </c>
      <c r="M50">
        <v>3</v>
      </c>
      <c r="O50" t="s">
        <v>28</v>
      </c>
      <c r="P50" t="s">
        <v>29</v>
      </c>
      <c r="Q50">
        <v>-1</v>
      </c>
      <c r="R50">
        <v>5</v>
      </c>
      <c r="S50">
        <v>20</v>
      </c>
      <c r="T50">
        <v>0</v>
      </c>
      <c r="U50" t="s">
        <v>112</v>
      </c>
      <c r="V50">
        <v>0</v>
      </c>
    </row>
    <row r="51" spans="1:22" x14ac:dyDescent="0.25">
      <c r="A51">
        <v>50</v>
      </c>
      <c r="B51" t="s">
        <v>109</v>
      </c>
      <c r="C51" t="str">
        <f t="shared" si="4"/>
        <v>GICS-beta3m(-1)</v>
      </c>
      <c r="D51" t="str">
        <f>IF(ISNA(HLOOKUP(C51,Run1_data!$C$1:$AF$34,1,0)),"","Run1")</f>
        <v>Run1</v>
      </c>
      <c r="E51" t="s">
        <v>24</v>
      </c>
      <c r="F51" t="s">
        <v>25</v>
      </c>
      <c r="I51" t="s">
        <v>101</v>
      </c>
      <c r="J51" t="s">
        <v>27</v>
      </c>
      <c r="K51">
        <v>0.1</v>
      </c>
      <c r="L51">
        <v>10</v>
      </c>
      <c r="M51">
        <v>3</v>
      </c>
      <c r="O51" t="s">
        <v>28</v>
      </c>
      <c r="P51" t="s">
        <v>29</v>
      </c>
      <c r="Q51">
        <v>-1</v>
      </c>
      <c r="R51">
        <v>5</v>
      </c>
      <c r="S51">
        <v>20</v>
      </c>
      <c r="T51">
        <v>0</v>
      </c>
      <c r="U51" t="s">
        <v>112</v>
      </c>
      <c r="V51">
        <v>0</v>
      </c>
    </row>
    <row r="52" spans="1:22" x14ac:dyDescent="0.25">
      <c r="A52">
        <v>51</v>
      </c>
      <c r="B52" t="s">
        <v>109</v>
      </c>
      <c r="C52" t="str">
        <f t="shared" si="4"/>
        <v>GICS-PdivMA20(-1)</v>
      </c>
      <c r="D52" t="str">
        <f>IF(ISNA(HLOOKUP(C52,Run1_data!$C$1:$AF$34,1,0)),"","Run1")</f>
        <v>Run1</v>
      </c>
      <c r="E52" t="s">
        <v>24</v>
      </c>
      <c r="F52" t="s">
        <v>25</v>
      </c>
      <c r="I52" t="s">
        <v>102</v>
      </c>
      <c r="J52" t="s">
        <v>27</v>
      </c>
      <c r="K52">
        <v>0.1</v>
      </c>
      <c r="L52">
        <v>10</v>
      </c>
      <c r="M52">
        <v>3</v>
      </c>
      <c r="O52" t="s">
        <v>28</v>
      </c>
      <c r="P52" t="s">
        <v>29</v>
      </c>
      <c r="Q52">
        <v>-1</v>
      </c>
      <c r="R52">
        <v>5</v>
      </c>
      <c r="S52">
        <v>20</v>
      </c>
      <c r="T52">
        <v>0</v>
      </c>
      <c r="U52" t="s">
        <v>112</v>
      </c>
      <c r="V52">
        <v>0</v>
      </c>
    </row>
    <row r="53" spans="1:22" x14ac:dyDescent="0.25">
      <c r="A53">
        <v>52</v>
      </c>
      <c r="B53" t="s">
        <v>109</v>
      </c>
      <c r="C53" t="str">
        <f t="shared" si="4"/>
        <v>GICS-per20d(-1)</v>
      </c>
      <c r="D53" t="str">
        <f>IF(ISNA(HLOOKUP(C53,Run1_data!$C$1:$AF$34,1,0)),"","Run1")</f>
        <v/>
      </c>
      <c r="E53" t="s">
        <v>24</v>
      </c>
      <c r="F53" t="s">
        <v>25</v>
      </c>
      <c r="I53" t="s">
        <v>103</v>
      </c>
      <c r="J53" t="s">
        <v>27</v>
      </c>
      <c r="K53">
        <v>0.1</v>
      </c>
      <c r="L53">
        <v>10</v>
      </c>
      <c r="M53">
        <v>3</v>
      </c>
      <c r="O53" t="s">
        <v>28</v>
      </c>
      <c r="P53" t="s">
        <v>29</v>
      </c>
      <c r="Q53">
        <v>-1</v>
      </c>
      <c r="R53">
        <v>5</v>
      </c>
      <c r="S53">
        <v>20</v>
      </c>
      <c r="T53">
        <v>0</v>
      </c>
      <c r="U53" t="s">
        <v>112</v>
      </c>
      <c r="V53">
        <v>0</v>
      </c>
    </row>
    <row r="54" spans="1:22" x14ac:dyDescent="0.25">
      <c r="A54">
        <v>53</v>
      </c>
      <c r="B54" t="s">
        <v>166</v>
      </c>
      <c r="C54" t="str">
        <f t="shared" si="4"/>
        <v>GICS-quot1020(-1)</v>
      </c>
      <c r="D54" t="str">
        <f>IF(ISNA(HLOOKUP(C54,Run1_data!$C$1:$AF$34,1,0)),"","Run1")</f>
        <v/>
      </c>
      <c r="E54" t="s">
        <v>24</v>
      </c>
      <c r="F54" t="s">
        <v>25</v>
      </c>
      <c r="I54" t="s">
        <v>104</v>
      </c>
      <c r="J54" t="s">
        <v>27</v>
      </c>
      <c r="K54">
        <v>0.1</v>
      </c>
      <c r="L54">
        <v>10</v>
      </c>
      <c r="M54">
        <v>3</v>
      </c>
      <c r="O54" t="s">
        <v>28</v>
      </c>
      <c r="P54" t="s">
        <v>29</v>
      </c>
      <c r="Q54">
        <v>-1</v>
      </c>
      <c r="R54">
        <v>5</v>
      </c>
      <c r="S54">
        <v>20</v>
      </c>
      <c r="T54">
        <v>0</v>
      </c>
      <c r="U54" t="s">
        <v>112</v>
      </c>
      <c r="V54">
        <v>0</v>
      </c>
    </row>
    <row r="55" spans="1:22" x14ac:dyDescent="0.25">
      <c r="A55">
        <v>54</v>
      </c>
      <c r="B55" t="s">
        <v>166</v>
      </c>
      <c r="C55" t="str">
        <f t="shared" si="4"/>
        <v>GICS-quot2050(-1)</v>
      </c>
      <c r="D55" t="str">
        <f>IF(ISNA(HLOOKUP(C55,Run1_data!$C$1:$AF$34,1,0)),"","Run1")</f>
        <v/>
      </c>
      <c r="E55" t="s">
        <v>24</v>
      </c>
      <c r="F55" t="s">
        <v>25</v>
      </c>
      <c r="I55" t="s">
        <v>105</v>
      </c>
      <c r="J55" t="s">
        <v>27</v>
      </c>
      <c r="K55">
        <v>0.1</v>
      </c>
      <c r="L55">
        <v>10</v>
      </c>
      <c r="M55">
        <v>3</v>
      </c>
      <c r="O55" t="s">
        <v>28</v>
      </c>
      <c r="P55" t="s">
        <v>29</v>
      </c>
      <c r="Q55">
        <v>-1</v>
      </c>
      <c r="R55">
        <v>5</v>
      </c>
      <c r="S55">
        <v>20</v>
      </c>
      <c r="T55">
        <v>0</v>
      </c>
      <c r="U55" t="s">
        <v>112</v>
      </c>
      <c r="V55">
        <v>0</v>
      </c>
    </row>
    <row r="56" spans="1:22" x14ac:dyDescent="0.25">
      <c r="A56">
        <v>55</v>
      </c>
      <c r="B56" t="s">
        <v>166</v>
      </c>
      <c r="C56" t="str">
        <f t="shared" si="4"/>
        <v>GICS-sh3m(-1)</v>
      </c>
      <c r="D56" t="str">
        <f>IF(ISNA(HLOOKUP(C56,Run1_data!$C$1:$AF$34,1,0)),"","Run1")</f>
        <v>Run1</v>
      </c>
      <c r="E56" t="s">
        <v>24</v>
      </c>
      <c r="F56" t="s">
        <v>25</v>
      </c>
      <c r="I56" t="s">
        <v>106</v>
      </c>
      <c r="J56" t="s">
        <v>27</v>
      </c>
      <c r="K56">
        <v>0.1</v>
      </c>
      <c r="L56">
        <v>10</v>
      </c>
      <c r="M56">
        <v>3</v>
      </c>
      <c r="O56" t="s">
        <v>28</v>
      </c>
      <c r="P56" t="s">
        <v>29</v>
      </c>
      <c r="Q56">
        <v>-1</v>
      </c>
      <c r="R56">
        <v>5</v>
      </c>
      <c r="S56">
        <v>20</v>
      </c>
      <c r="T56">
        <v>0</v>
      </c>
      <c r="U56" t="s">
        <v>112</v>
      </c>
      <c r="V56">
        <v>0</v>
      </c>
    </row>
    <row r="57" spans="1:22" x14ac:dyDescent="0.25">
      <c r="A57">
        <v>56</v>
      </c>
      <c r="B57" t="s">
        <v>109</v>
      </c>
      <c r="C57" t="str">
        <f t="shared" si="4"/>
        <v>GICS-trump(-1)</v>
      </c>
      <c r="D57" t="str">
        <f>IF(ISNA(HLOOKUP(C57,Run1_data!$C$1:$AF$34,1,0)),"","Run1")</f>
        <v>Run1</v>
      </c>
      <c r="E57" t="s">
        <v>24</v>
      </c>
      <c r="F57" t="s">
        <v>25</v>
      </c>
      <c r="I57" t="s">
        <v>107</v>
      </c>
      <c r="J57" t="s">
        <v>27</v>
      </c>
      <c r="K57">
        <v>0.1</v>
      </c>
      <c r="L57">
        <v>10</v>
      </c>
      <c r="M57">
        <v>3</v>
      </c>
      <c r="O57" t="s">
        <v>28</v>
      </c>
      <c r="P57" t="s">
        <v>29</v>
      </c>
      <c r="Q57">
        <v>-1</v>
      </c>
      <c r="R57">
        <v>5</v>
      </c>
      <c r="S57">
        <v>20</v>
      </c>
      <c r="T57">
        <v>0</v>
      </c>
      <c r="U57" t="s">
        <v>112</v>
      </c>
      <c r="V57">
        <v>0</v>
      </c>
    </row>
    <row r="58" spans="1:22" x14ac:dyDescent="0.25">
      <c r="A58">
        <v>57</v>
      </c>
      <c r="B58" t="s">
        <v>109</v>
      </c>
      <c r="C58" t="str">
        <f t="shared" si="4"/>
        <v>GICS-vola20d(-1)</v>
      </c>
      <c r="D58" t="str">
        <f>IF(ISNA(HLOOKUP(C58,Run1_data!$C$1:$AF$34,1,0)),"","Run1")</f>
        <v/>
      </c>
      <c r="E58" t="s">
        <v>24</v>
      </c>
      <c r="F58" t="s">
        <v>25</v>
      </c>
      <c r="I58" t="s">
        <v>113</v>
      </c>
      <c r="J58" t="s">
        <v>27</v>
      </c>
      <c r="K58">
        <v>0.1</v>
      </c>
      <c r="L58">
        <v>10</v>
      </c>
      <c r="M58">
        <v>3</v>
      </c>
      <c r="O58" t="s">
        <v>28</v>
      </c>
      <c r="P58" t="s">
        <v>29</v>
      </c>
      <c r="Q58">
        <v>-1</v>
      </c>
      <c r="R58">
        <v>5</v>
      </c>
      <c r="S58">
        <v>20</v>
      </c>
      <c r="T58">
        <v>0</v>
      </c>
      <c r="U58" t="s">
        <v>112</v>
      </c>
      <c r="V58">
        <v>0</v>
      </c>
    </row>
    <row r="59" spans="1:22" x14ac:dyDescent="0.25">
      <c r="A59">
        <v>58</v>
      </c>
      <c r="B59" t="s">
        <v>166</v>
      </c>
      <c r="C59" t="str">
        <f t="shared" si="4"/>
        <v>GICS-rank(-1)</v>
      </c>
      <c r="D59" t="str">
        <f>IF(ISNA(HLOOKUP(C59,Run1_data!$C$1:$AF$34,1,0)),"","Run1")</f>
        <v>Run1</v>
      </c>
      <c r="E59" t="s">
        <v>24</v>
      </c>
      <c r="F59" t="s">
        <v>25</v>
      </c>
      <c r="I59" t="s">
        <v>28</v>
      </c>
      <c r="J59" t="s">
        <v>29</v>
      </c>
      <c r="K59">
        <v>0.1</v>
      </c>
      <c r="L59">
        <v>10</v>
      </c>
      <c r="M59">
        <v>3</v>
      </c>
      <c r="O59" t="s">
        <v>28</v>
      </c>
      <c r="P59" t="s">
        <v>29</v>
      </c>
      <c r="Q59">
        <v>-1</v>
      </c>
      <c r="R59">
        <v>5</v>
      </c>
      <c r="S59">
        <v>20</v>
      </c>
      <c r="T59">
        <v>0</v>
      </c>
      <c r="U59" t="s">
        <v>112</v>
      </c>
      <c r="V59">
        <v>0</v>
      </c>
    </row>
    <row r="60" spans="1:22" x14ac:dyDescent="0.25">
      <c r="A60">
        <v>59</v>
      </c>
      <c r="B60" t="s">
        <v>109</v>
      </c>
      <c r="C60" t="str">
        <f t="shared" si="4"/>
        <v>GICS-median_30d(-1)</v>
      </c>
      <c r="D60" t="str">
        <f>IF(ISNA(HLOOKUP(C60,Run1_data!$C$1:$AF$34,1,0)),"","Run1")</f>
        <v/>
      </c>
      <c r="E60" t="s">
        <v>24</v>
      </c>
      <c r="F60" t="s">
        <v>25</v>
      </c>
      <c r="I60" t="s">
        <v>108</v>
      </c>
      <c r="J60" t="s">
        <v>29</v>
      </c>
      <c r="K60">
        <v>0.1</v>
      </c>
      <c r="L60">
        <v>10</v>
      </c>
      <c r="M60">
        <v>3</v>
      </c>
      <c r="O60" t="s">
        <v>28</v>
      </c>
      <c r="P60" t="s">
        <v>29</v>
      </c>
      <c r="Q60">
        <v>-1</v>
      </c>
      <c r="R60">
        <v>5</v>
      </c>
      <c r="S60">
        <v>20</v>
      </c>
      <c r="T60">
        <v>0</v>
      </c>
      <c r="U60" t="s">
        <v>112</v>
      </c>
      <c r="V60">
        <v>0</v>
      </c>
    </row>
    <row r="61" spans="1:22" x14ac:dyDescent="0.25">
      <c r="A61">
        <v>60</v>
      </c>
      <c r="B61" t="s">
        <v>166</v>
      </c>
      <c r="C61" t="str">
        <f t="shared" si="4"/>
        <v>GICS-spr100d(-1)</v>
      </c>
      <c r="D61" t="str">
        <f>IF(ISNA(HLOOKUP(C61,Run1_data!$C$1:$AF$34,1,0)),"","Run1")</f>
        <v>Run1</v>
      </c>
      <c r="E61" t="s">
        <v>24</v>
      </c>
      <c r="F61" t="s">
        <v>25</v>
      </c>
      <c r="I61" t="s">
        <v>30</v>
      </c>
      <c r="J61" t="s">
        <v>29</v>
      </c>
      <c r="K61">
        <v>0.1</v>
      </c>
      <c r="L61">
        <v>10</v>
      </c>
      <c r="M61">
        <v>3</v>
      </c>
      <c r="O61" t="s">
        <v>28</v>
      </c>
      <c r="P61" t="s">
        <v>29</v>
      </c>
      <c r="Q61">
        <v>-1</v>
      </c>
      <c r="R61">
        <v>5</v>
      </c>
      <c r="S61">
        <v>20</v>
      </c>
      <c r="T61">
        <v>0</v>
      </c>
      <c r="U61" t="s">
        <v>112</v>
      </c>
      <c r="V61">
        <v>0</v>
      </c>
    </row>
    <row r="62" spans="1:22" x14ac:dyDescent="0.25">
      <c r="A62">
        <v>61</v>
      </c>
      <c r="B62" t="s">
        <v>109</v>
      </c>
      <c r="C62" t="str">
        <f t="shared" ref="C62:C73" si="5">"GICSNY-"&amp;I62&amp;"("&amp;Q62&amp;")"</f>
        <v>GICSNY-rsi(-1)</v>
      </c>
      <c r="D62" t="str">
        <f>IF(ISNA(HLOOKUP(C62,Run1_data!$C$1:$AF$34,1,0)),"","Run1")</f>
        <v>Run1</v>
      </c>
      <c r="E62" s="9" t="s">
        <v>100</v>
      </c>
      <c r="F62" t="s">
        <v>25</v>
      </c>
      <c r="I62" t="s">
        <v>26</v>
      </c>
      <c r="J62" t="s">
        <v>27</v>
      </c>
      <c r="K62">
        <v>0.1</v>
      </c>
      <c r="L62">
        <v>10</v>
      </c>
      <c r="M62">
        <v>3</v>
      </c>
      <c r="O62" t="s">
        <v>28</v>
      </c>
      <c r="P62" t="s">
        <v>29</v>
      </c>
      <c r="Q62">
        <v>-1</v>
      </c>
      <c r="R62">
        <v>5</v>
      </c>
      <c r="S62">
        <v>20</v>
      </c>
      <c r="T62">
        <v>0</v>
      </c>
      <c r="U62" t="s">
        <v>112</v>
      </c>
      <c r="V62">
        <v>0</v>
      </c>
    </row>
    <row r="63" spans="1:22" x14ac:dyDescent="0.25">
      <c r="A63">
        <v>62</v>
      </c>
      <c r="B63" t="s">
        <v>109</v>
      </c>
      <c r="C63" t="str">
        <f t="shared" si="5"/>
        <v>GICSNY-beta3m(-1)</v>
      </c>
      <c r="D63" t="str">
        <f>IF(ISNA(HLOOKUP(C63,Run1_data!$C$1:$AF$34,1,0)),"","Run1")</f>
        <v>Run1</v>
      </c>
      <c r="E63" s="9" t="s">
        <v>100</v>
      </c>
      <c r="F63" t="s">
        <v>25</v>
      </c>
      <c r="I63" t="s">
        <v>101</v>
      </c>
      <c r="J63" t="s">
        <v>27</v>
      </c>
      <c r="K63">
        <v>0.1</v>
      </c>
      <c r="L63">
        <v>10</v>
      </c>
      <c r="M63">
        <v>3</v>
      </c>
      <c r="O63" t="s">
        <v>28</v>
      </c>
      <c r="P63" t="s">
        <v>29</v>
      </c>
      <c r="Q63">
        <v>-1</v>
      </c>
      <c r="R63">
        <v>5</v>
      </c>
      <c r="S63">
        <v>20</v>
      </c>
      <c r="T63">
        <v>0</v>
      </c>
      <c r="U63" t="s">
        <v>112</v>
      </c>
      <c r="V63">
        <v>0</v>
      </c>
    </row>
    <row r="64" spans="1:22" x14ac:dyDescent="0.25">
      <c r="A64">
        <v>63</v>
      </c>
      <c r="B64" t="s">
        <v>109</v>
      </c>
      <c r="C64" t="str">
        <f t="shared" si="5"/>
        <v>GICSNY-PdivMA20(-1)</v>
      </c>
      <c r="D64" t="str">
        <f>IF(ISNA(HLOOKUP(C64,Run1_data!$C$1:$AF$34,1,0)),"","Run1")</f>
        <v>Run1</v>
      </c>
      <c r="E64" s="9" t="s">
        <v>100</v>
      </c>
      <c r="F64" t="s">
        <v>25</v>
      </c>
      <c r="I64" t="s">
        <v>102</v>
      </c>
      <c r="J64" t="s">
        <v>27</v>
      </c>
      <c r="K64">
        <v>0.1</v>
      </c>
      <c r="L64">
        <v>10</v>
      </c>
      <c r="M64">
        <v>3</v>
      </c>
      <c r="O64" t="s">
        <v>28</v>
      </c>
      <c r="P64" t="s">
        <v>29</v>
      </c>
      <c r="Q64">
        <v>-1</v>
      </c>
      <c r="R64">
        <v>5</v>
      </c>
      <c r="S64">
        <v>20</v>
      </c>
      <c r="T64">
        <v>0</v>
      </c>
      <c r="U64" t="s">
        <v>112</v>
      </c>
      <c r="V64">
        <v>0</v>
      </c>
    </row>
    <row r="65" spans="1:22" x14ac:dyDescent="0.25">
      <c r="A65">
        <v>64</v>
      </c>
      <c r="B65" t="s">
        <v>109</v>
      </c>
      <c r="C65" t="str">
        <f t="shared" si="5"/>
        <v>GICSNY-per20d(-1)</v>
      </c>
      <c r="D65" t="str">
        <f>IF(ISNA(HLOOKUP(C65,Run1_data!$C$1:$AF$34,1,0)),"","Run1")</f>
        <v/>
      </c>
      <c r="E65" s="9" t="s">
        <v>100</v>
      </c>
      <c r="F65" t="s">
        <v>25</v>
      </c>
      <c r="I65" t="s">
        <v>103</v>
      </c>
      <c r="J65" t="s">
        <v>27</v>
      </c>
      <c r="K65">
        <v>0.1</v>
      </c>
      <c r="L65">
        <v>10</v>
      </c>
      <c r="M65">
        <v>3</v>
      </c>
      <c r="O65" t="s">
        <v>28</v>
      </c>
      <c r="P65" t="s">
        <v>29</v>
      </c>
      <c r="Q65">
        <v>-1</v>
      </c>
      <c r="R65">
        <v>5</v>
      </c>
      <c r="S65">
        <v>20</v>
      </c>
      <c r="T65">
        <v>0</v>
      </c>
      <c r="U65" t="s">
        <v>112</v>
      </c>
      <c r="V65">
        <v>0</v>
      </c>
    </row>
    <row r="66" spans="1:22" x14ac:dyDescent="0.25">
      <c r="A66">
        <v>65</v>
      </c>
      <c r="B66" t="s">
        <v>166</v>
      </c>
      <c r="C66" t="str">
        <f t="shared" si="5"/>
        <v>GICSNY-quot1020(-1)</v>
      </c>
      <c r="D66" t="str">
        <f>IF(ISNA(HLOOKUP(C66,Run1_data!$C$1:$AF$34,1,0)),"","Run1")</f>
        <v/>
      </c>
      <c r="E66" s="9" t="s">
        <v>100</v>
      </c>
      <c r="F66" t="s">
        <v>25</v>
      </c>
      <c r="I66" t="s">
        <v>104</v>
      </c>
      <c r="J66" t="s">
        <v>27</v>
      </c>
      <c r="K66">
        <v>0.1</v>
      </c>
      <c r="L66">
        <v>10</v>
      </c>
      <c r="M66">
        <v>3</v>
      </c>
      <c r="O66" t="s">
        <v>28</v>
      </c>
      <c r="P66" t="s">
        <v>29</v>
      </c>
      <c r="Q66">
        <v>-1</v>
      </c>
      <c r="R66">
        <v>5</v>
      </c>
      <c r="S66">
        <v>20</v>
      </c>
      <c r="T66">
        <v>0</v>
      </c>
      <c r="U66" t="s">
        <v>112</v>
      </c>
      <c r="V66">
        <v>0</v>
      </c>
    </row>
    <row r="67" spans="1:22" x14ac:dyDescent="0.25">
      <c r="A67">
        <v>66</v>
      </c>
      <c r="B67" t="s">
        <v>166</v>
      </c>
      <c r="C67" t="str">
        <f t="shared" si="5"/>
        <v>GICSNY-quot2050(-1)</v>
      </c>
      <c r="D67" t="str">
        <f>IF(ISNA(HLOOKUP(C67,Run1_data!$C$1:$AF$34,1,0)),"","Run1")</f>
        <v/>
      </c>
      <c r="E67" s="9" t="s">
        <v>100</v>
      </c>
      <c r="F67" t="s">
        <v>25</v>
      </c>
      <c r="I67" t="s">
        <v>105</v>
      </c>
      <c r="J67" t="s">
        <v>27</v>
      </c>
      <c r="K67">
        <v>0.1</v>
      </c>
      <c r="L67">
        <v>10</v>
      </c>
      <c r="M67">
        <v>3</v>
      </c>
      <c r="O67" t="s">
        <v>28</v>
      </c>
      <c r="P67" t="s">
        <v>29</v>
      </c>
      <c r="Q67">
        <v>-1</v>
      </c>
      <c r="R67">
        <v>5</v>
      </c>
      <c r="S67">
        <v>20</v>
      </c>
      <c r="T67">
        <v>0</v>
      </c>
      <c r="U67" t="s">
        <v>112</v>
      </c>
      <c r="V67">
        <v>0</v>
      </c>
    </row>
    <row r="68" spans="1:22" x14ac:dyDescent="0.25">
      <c r="A68">
        <v>67</v>
      </c>
      <c r="B68" t="s">
        <v>166</v>
      </c>
      <c r="C68" t="str">
        <f t="shared" si="5"/>
        <v>GICSNY-sh3m(-1)</v>
      </c>
      <c r="D68" t="str">
        <f>IF(ISNA(HLOOKUP(C68,Run1_data!$C$1:$AF$34,1,0)),"","Run1")</f>
        <v>Run1</v>
      </c>
      <c r="E68" s="9" t="s">
        <v>100</v>
      </c>
      <c r="F68" t="s">
        <v>25</v>
      </c>
      <c r="I68" t="s">
        <v>106</v>
      </c>
      <c r="J68" t="s">
        <v>27</v>
      </c>
      <c r="K68">
        <v>0.1</v>
      </c>
      <c r="L68">
        <v>10</v>
      </c>
      <c r="M68">
        <v>3</v>
      </c>
      <c r="O68" t="s">
        <v>28</v>
      </c>
      <c r="P68" t="s">
        <v>29</v>
      </c>
      <c r="Q68">
        <v>-1</v>
      </c>
      <c r="R68">
        <v>5</v>
      </c>
      <c r="S68">
        <v>20</v>
      </c>
      <c r="T68">
        <v>0</v>
      </c>
      <c r="U68" t="s">
        <v>112</v>
      </c>
      <c r="V68">
        <v>0</v>
      </c>
    </row>
    <row r="69" spans="1:22" x14ac:dyDescent="0.25">
      <c r="A69">
        <v>68</v>
      </c>
      <c r="B69" t="s">
        <v>109</v>
      </c>
      <c r="C69" t="str">
        <f t="shared" si="5"/>
        <v>GICSNY-trump(-1)</v>
      </c>
      <c r="D69" t="str">
        <f>IF(ISNA(HLOOKUP(C69,Run1_data!$C$1:$AF$34,1,0)),"","Run1")</f>
        <v/>
      </c>
      <c r="E69" s="9" t="s">
        <v>100</v>
      </c>
      <c r="F69" t="s">
        <v>25</v>
      </c>
      <c r="I69" t="s">
        <v>107</v>
      </c>
      <c r="J69" t="s">
        <v>27</v>
      </c>
      <c r="K69">
        <v>0.1</v>
      </c>
      <c r="L69">
        <v>10</v>
      </c>
      <c r="M69">
        <v>3</v>
      </c>
      <c r="O69" t="s">
        <v>28</v>
      </c>
      <c r="P69" t="s">
        <v>29</v>
      </c>
      <c r="Q69">
        <v>-1</v>
      </c>
      <c r="R69">
        <v>5</v>
      </c>
      <c r="S69">
        <v>20</v>
      </c>
      <c r="T69">
        <v>0</v>
      </c>
      <c r="U69" t="s">
        <v>112</v>
      </c>
      <c r="V69">
        <v>0</v>
      </c>
    </row>
    <row r="70" spans="1:22" x14ac:dyDescent="0.25">
      <c r="A70">
        <v>69</v>
      </c>
      <c r="B70" t="s">
        <v>166</v>
      </c>
      <c r="C70" t="str">
        <f t="shared" si="5"/>
        <v>GICSNY-vola20d(-1)</v>
      </c>
      <c r="D70" t="str">
        <f>IF(ISNA(HLOOKUP(C70,Run1_data!$C$1:$AF$34,1,0)),"","Run1")</f>
        <v>Run1</v>
      </c>
      <c r="E70" s="9" t="s">
        <v>100</v>
      </c>
      <c r="F70" t="s">
        <v>25</v>
      </c>
      <c r="I70" t="s">
        <v>113</v>
      </c>
      <c r="J70" t="s">
        <v>27</v>
      </c>
      <c r="K70">
        <v>0.1</v>
      </c>
      <c r="L70">
        <v>10</v>
      </c>
      <c r="M70">
        <v>3</v>
      </c>
      <c r="O70" t="s">
        <v>28</v>
      </c>
      <c r="P70" t="s">
        <v>29</v>
      </c>
      <c r="Q70">
        <v>-1</v>
      </c>
      <c r="R70">
        <v>5</v>
      </c>
      <c r="S70">
        <v>20</v>
      </c>
      <c r="T70">
        <v>0</v>
      </c>
      <c r="U70" t="s">
        <v>112</v>
      </c>
      <c r="V70">
        <v>0</v>
      </c>
    </row>
    <row r="71" spans="1:22" x14ac:dyDescent="0.25">
      <c r="A71">
        <v>70</v>
      </c>
      <c r="B71" t="s">
        <v>109</v>
      </c>
      <c r="C71" t="str">
        <f t="shared" si="5"/>
        <v>GICSNY-rank(-1)</v>
      </c>
      <c r="D71" t="str">
        <f>IF(ISNA(HLOOKUP(C71,Run1_data!$C$1:$AF$34,1,0)),"","Run1")</f>
        <v>Run1</v>
      </c>
      <c r="E71" s="9" t="s">
        <v>100</v>
      </c>
      <c r="F71" t="s">
        <v>25</v>
      </c>
      <c r="I71" t="s">
        <v>28</v>
      </c>
      <c r="J71" t="s">
        <v>29</v>
      </c>
      <c r="K71">
        <v>0.1</v>
      </c>
      <c r="L71">
        <v>10</v>
      </c>
      <c r="M71">
        <v>3</v>
      </c>
      <c r="O71" t="s">
        <v>28</v>
      </c>
      <c r="P71" t="s">
        <v>29</v>
      </c>
      <c r="Q71">
        <v>-1</v>
      </c>
      <c r="R71">
        <v>5</v>
      </c>
      <c r="S71">
        <v>20</v>
      </c>
      <c r="T71">
        <v>0</v>
      </c>
      <c r="U71" t="s">
        <v>112</v>
      </c>
      <c r="V71">
        <v>0</v>
      </c>
    </row>
    <row r="72" spans="1:22" x14ac:dyDescent="0.25">
      <c r="A72">
        <v>71</v>
      </c>
      <c r="B72" t="s">
        <v>109</v>
      </c>
      <c r="C72" t="str">
        <f t="shared" si="5"/>
        <v>GICSNY-median_30d(-1)</v>
      </c>
      <c r="D72" t="str">
        <f>IF(ISNA(HLOOKUP(C72,Run1_data!$C$1:$AF$34,1,0)),"","Run1")</f>
        <v/>
      </c>
      <c r="E72" s="9" t="s">
        <v>100</v>
      </c>
      <c r="F72" t="s">
        <v>25</v>
      </c>
      <c r="I72" t="s">
        <v>108</v>
      </c>
      <c r="J72" t="s">
        <v>29</v>
      </c>
      <c r="K72">
        <v>0.1</v>
      </c>
      <c r="L72">
        <v>10</v>
      </c>
      <c r="M72">
        <v>3</v>
      </c>
      <c r="O72" t="s">
        <v>28</v>
      </c>
      <c r="P72" t="s">
        <v>29</v>
      </c>
      <c r="Q72">
        <v>-1</v>
      </c>
      <c r="R72">
        <v>5</v>
      </c>
      <c r="S72">
        <v>20</v>
      </c>
      <c r="T72">
        <v>0</v>
      </c>
      <c r="U72" t="s">
        <v>112</v>
      </c>
      <c r="V72">
        <v>0</v>
      </c>
    </row>
    <row r="73" spans="1:22" x14ac:dyDescent="0.25">
      <c r="A73">
        <v>72</v>
      </c>
      <c r="B73" t="s">
        <v>166</v>
      </c>
      <c r="C73" t="str">
        <f t="shared" si="5"/>
        <v>GICSNY-spr100d(-1)</v>
      </c>
      <c r="D73" t="str">
        <f>IF(ISNA(HLOOKUP(C73,Run1_data!$C$1:$AF$34,1,0)),"","Run1")</f>
        <v>Run1</v>
      </c>
      <c r="E73" s="9" t="s">
        <v>100</v>
      </c>
      <c r="F73" t="s">
        <v>25</v>
      </c>
      <c r="I73" t="s">
        <v>30</v>
      </c>
      <c r="J73" t="s">
        <v>29</v>
      </c>
      <c r="K73">
        <v>0.1</v>
      </c>
      <c r="L73">
        <v>10</v>
      </c>
      <c r="M73">
        <v>3</v>
      </c>
      <c r="O73" t="s">
        <v>28</v>
      </c>
      <c r="P73" t="s">
        <v>29</v>
      </c>
      <c r="Q73">
        <v>-1</v>
      </c>
      <c r="R73">
        <v>5</v>
      </c>
      <c r="S73">
        <v>20</v>
      </c>
      <c r="T73">
        <v>0</v>
      </c>
      <c r="U73" t="s">
        <v>112</v>
      </c>
      <c r="V73">
        <v>0</v>
      </c>
    </row>
    <row r="74" spans="1:22" x14ac:dyDescent="0.25">
      <c r="A74">
        <v>73</v>
      </c>
      <c r="B74" t="s">
        <v>109</v>
      </c>
      <c r="C74" t="str">
        <f t="shared" ref="C74:C85" si="6">"ZONE-"&amp;I74&amp;"("&amp;Q74&amp;")"</f>
        <v>ZONE-rsi(-1)</v>
      </c>
      <c r="D74" t="str">
        <f>IF(ISNA(HLOOKUP(C74,Run1_data!$C$1:$AF$34,1,0)),"","Run1")</f>
        <v/>
      </c>
      <c r="E74" t="s">
        <v>110</v>
      </c>
      <c r="F74" t="s">
        <v>25</v>
      </c>
      <c r="I74" t="s">
        <v>26</v>
      </c>
      <c r="J74" t="s">
        <v>27</v>
      </c>
      <c r="K74">
        <v>0.1</v>
      </c>
      <c r="L74">
        <v>10</v>
      </c>
      <c r="M74">
        <v>3</v>
      </c>
      <c r="O74" t="s">
        <v>28</v>
      </c>
      <c r="P74" t="s">
        <v>29</v>
      </c>
      <c r="Q74">
        <v>-1</v>
      </c>
      <c r="R74">
        <v>5</v>
      </c>
      <c r="S74">
        <v>20</v>
      </c>
      <c r="T74">
        <v>0</v>
      </c>
      <c r="U74" t="s">
        <v>112</v>
      </c>
      <c r="V74">
        <v>0</v>
      </c>
    </row>
    <row r="75" spans="1:22" x14ac:dyDescent="0.25">
      <c r="A75">
        <v>74</v>
      </c>
      <c r="B75" t="s">
        <v>166</v>
      </c>
      <c r="C75" t="str">
        <f t="shared" si="6"/>
        <v>ZONE-beta3m(-1)</v>
      </c>
      <c r="D75" t="str">
        <f>IF(ISNA(HLOOKUP(C75,Run1_data!$C$1:$AF$34,1,0)),"","Run1")</f>
        <v/>
      </c>
      <c r="E75" t="s">
        <v>110</v>
      </c>
      <c r="F75" t="s">
        <v>25</v>
      </c>
      <c r="I75" t="s">
        <v>101</v>
      </c>
      <c r="J75" t="s">
        <v>27</v>
      </c>
      <c r="K75">
        <v>0.1</v>
      </c>
      <c r="L75">
        <v>10</v>
      </c>
      <c r="M75">
        <v>3</v>
      </c>
      <c r="O75" t="s">
        <v>28</v>
      </c>
      <c r="P75" t="s">
        <v>29</v>
      </c>
      <c r="Q75">
        <v>-1</v>
      </c>
      <c r="R75">
        <v>5</v>
      </c>
      <c r="S75">
        <v>20</v>
      </c>
      <c r="T75">
        <v>0</v>
      </c>
      <c r="U75" t="s">
        <v>112</v>
      </c>
      <c r="V75">
        <v>0</v>
      </c>
    </row>
    <row r="76" spans="1:22" x14ac:dyDescent="0.25">
      <c r="A76">
        <v>75</v>
      </c>
      <c r="B76" t="s">
        <v>166</v>
      </c>
      <c r="C76" t="str">
        <f t="shared" si="6"/>
        <v>ZONE-PdivMA20(-1)</v>
      </c>
      <c r="D76" t="str">
        <f>IF(ISNA(HLOOKUP(C76,Run1_data!$C$1:$AF$34,1,0)),"","Run1")</f>
        <v/>
      </c>
      <c r="E76" t="s">
        <v>110</v>
      </c>
      <c r="F76" t="s">
        <v>25</v>
      </c>
      <c r="I76" t="s">
        <v>102</v>
      </c>
      <c r="J76" t="s">
        <v>27</v>
      </c>
      <c r="K76">
        <v>0.1</v>
      </c>
      <c r="L76">
        <v>10</v>
      </c>
      <c r="M76">
        <v>3</v>
      </c>
      <c r="O76" t="s">
        <v>28</v>
      </c>
      <c r="P76" t="s">
        <v>29</v>
      </c>
      <c r="Q76">
        <v>-1</v>
      </c>
      <c r="R76">
        <v>5</v>
      </c>
      <c r="S76">
        <v>20</v>
      </c>
      <c r="T76">
        <v>0</v>
      </c>
      <c r="U76" t="s">
        <v>112</v>
      </c>
      <c r="V76">
        <v>0</v>
      </c>
    </row>
    <row r="77" spans="1:22" x14ac:dyDescent="0.25">
      <c r="A77">
        <v>76</v>
      </c>
      <c r="B77" t="s">
        <v>166</v>
      </c>
      <c r="C77" t="str">
        <f t="shared" si="6"/>
        <v>ZONE-per20d(-1)</v>
      </c>
      <c r="D77" t="str">
        <f>IF(ISNA(HLOOKUP(C77,Run1_data!$C$1:$AF$34,1,0)),"","Run1")</f>
        <v/>
      </c>
      <c r="E77" t="s">
        <v>110</v>
      </c>
      <c r="F77" t="s">
        <v>25</v>
      </c>
      <c r="I77" t="s">
        <v>103</v>
      </c>
      <c r="J77" t="s">
        <v>27</v>
      </c>
      <c r="K77">
        <v>0.1</v>
      </c>
      <c r="L77">
        <v>10</v>
      </c>
      <c r="M77">
        <v>3</v>
      </c>
      <c r="O77" t="s">
        <v>28</v>
      </c>
      <c r="P77" t="s">
        <v>29</v>
      </c>
      <c r="Q77">
        <v>-1</v>
      </c>
      <c r="R77">
        <v>5</v>
      </c>
      <c r="S77">
        <v>20</v>
      </c>
      <c r="T77">
        <v>0</v>
      </c>
      <c r="U77" t="s">
        <v>112</v>
      </c>
      <c r="V77">
        <v>0</v>
      </c>
    </row>
    <row r="78" spans="1:22" x14ac:dyDescent="0.25">
      <c r="A78">
        <v>77</v>
      </c>
      <c r="B78" t="s">
        <v>166</v>
      </c>
      <c r="C78" t="str">
        <f t="shared" si="6"/>
        <v>ZONE-quot1020(-1)</v>
      </c>
      <c r="D78" t="str">
        <f>IF(ISNA(HLOOKUP(C78,Run1_data!$C$1:$AF$34,1,0)),"","Run1")</f>
        <v/>
      </c>
      <c r="E78" t="s">
        <v>110</v>
      </c>
      <c r="F78" t="s">
        <v>25</v>
      </c>
      <c r="I78" t="s">
        <v>104</v>
      </c>
      <c r="J78" t="s">
        <v>27</v>
      </c>
      <c r="K78">
        <v>0.1</v>
      </c>
      <c r="L78">
        <v>10</v>
      </c>
      <c r="M78">
        <v>3</v>
      </c>
      <c r="O78" t="s">
        <v>28</v>
      </c>
      <c r="P78" t="s">
        <v>29</v>
      </c>
      <c r="Q78">
        <v>-1</v>
      </c>
      <c r="R78">
        <v>5</v>
      </c>
      <c r="S78">
        <v>20</v>
      </c>
      <c r="T78">
        <v>0</v>
      </c>
      <c r="U78" t="s">
        <v>112</v>
      </c>
      <c r="V78">
        <v>0</v>
      </c>
    </row>
    <row r="79" spans="1:22" x14ac:dyDescent="0.25">
      <c r="A79">
        <v>78</v>
      </c>
      <c r="B79" t="s">
        <v>166</v>
      </c>
      <c r="C79" t="str">
        <f t="shared" si="6"/>
        <v>ZONE-quot2050(-1)</v>
      </c>
      <c r="D79" t="str">
        <f>IF(ISNA(HLOOKUP(C79,Run1_data!$C$1:$AF$34,1,0)),"","Run1")</f>
        <v>Run1</v>
      </c>
      <c r="E79" t="s">
        <v>110</v>
      </c>
      <c r="F79" t="s">
        <v>25</v>
      </c>
      <c r="I79" t="s">
        <v>105</v>
      </c>
      <c r="J79" t="s">
        <v>27</v>
      </c>
      <c r="K79">
        <v>0.1</v>
      </c>
      <c r="L79">
        <v>10</v>
      </c>
      <c r="M79">
        <v>3</v>
      </c>
      <c r="O79" t="s">
        <v>28</v>
      </c>
      <c r="P79" t="s">
        <v>29</v>
      </c>
      <c r="Q79">
        <v>-1</v>
      </c>
      <c r="R79">
        <v>5</v>
      </c>
      <c r="S79">
        <v>20</v>
      </c>
      <c r="T79">
        <v>0</v>
      </c>
      <c r="U79" t="s">
        <v>112</v>
      </c>
      <c r="V79">
        <v>0</v>
      </c>
    </row>
    <row r="80" spans="1:22" x14ac:dyDescent="0.25">
      <c r="A80">
        <v>79</v>
      </c>
      <c r="B80" t="s">
        <v>109</v>
      </c>
      <c r="C80" t="str">
        <f t="shared" si="6"/>
        <v>ZONE-sh3m(-1)</v>
      </c>
      <c r="D80" t="str">
        <f>IF(ISNA(HLOOKUP(C80,Run1_data!$C$1:$AF$34,1,0)),"","Run1")</f>
        <v>Run1</v>
      </c>
      <c r="E80" t="s">
        <v>110</v>
      </c>
      <c r="F80" t="s">
        <v>25</v>
      </c>
      <c r="I80" t="s">
        <v>106</v>
      </c>
      <c r="J80" t="s">
        <v>27</v>
      </c>
      <c r="K80">
        <v>0.1</v>
      </c>
      <c r="L80">
        <v>10</v>
      </c>
      <c r="M80">
        <v>3</v>
      </c>
      <c r="O80" t="s">
        <v>28</v>
      </c>
      <c r="P80" t="s">
        <v>29</v>
      </c>
      <c r="Q80">
        <v>-1</v>
      </c>
      <c r="R80">
        <v>5</v>
      </c>
      <c r="S80">
        <v>20</v>
      </c>
      <c r="T80">
        <v>0</v>
      </c>
      <c r="U80" t="s">
        <v>112</v>
      </c>
      <c r="V80">
        <v>0</v>
      </c>
    </row>
    <row r="81" spans="1:22" x14ac:dyDescent="0.25">
      <c r="A81">
        <v>80</v>
      </c>
      <c r="B81" t="s">
        <v>109</v>
      </c>
      <c r="C81" t="str">
        <f t="shared" si="6"/>
        <v>ZONE-trump(-1)</v>
      </c>
      <c r="D81" t="str">
        <f>IF(ISNA(HLOOKUP(C81,Run1_data!$C$1:$AF$34,1,0)),"","Run1")</f>
        <v>Run1</v>
      </c>
      <c r="E81" t="s">
        <v>110</v>
      </c>
      <c r="F81" t="s">
        <v>25</v>
      </c>
      <c r="I81" t="s">
        <v>107</v>
      </c>
      <c r="J81" t="s">
        <v>27</v>
      </c>
      <c r="K81">
        <v>0.1</v>
      </c>
      <c r="L81">
        <v>10</v>
      </c>
      <c r="M81">
        <v>3</v>
      </c>
      <c r="O81" t="s">
        <v>28</v>
      </c>
      <c r="P81" t="s">
        <v>29</v>
      </c>
      <c r="Q81">
        <v>-1</v>
      </c>
      <c r="R81">
        <v>5</v>
      </c>
      <c r="S81">
        <v>20</v>
      </c>
      <c r="T81">
        <v>0</v>
      </c>
      <c r="U81" t="s">
        <v>112</v>
      </c>
      <c r="V81">
        <v>0</v>
      </c>
    </row>
    <row r="82" spans="1:22" x14ac:dyDescent="0.25">
      <c r="A82">
        <v>81</v>
      </c>
      <c r="B82" t="s">
        <v>109</v>
      </c>
      <c r="C82" t="str">
        <f t="shared" si="6"/>
        <v>ZONE-vola20d(-1)</v>
      </c>
      <c r="D82" t="str">
        <f>IF(ISNA(HLOOKUP(C82,Run1_data!$C$1:$AF$34,1,0)),"","Run1")</f>
        <v/>
      </c>
      <c r="E82" t="s">
        <v>110</v>
      </c>
      <c r="F82" t="s">
        <v>25</v>
      </c>
      <c r="I82" t="s">
        <v>113</v>
      </c>
      <c r="J82" t="s">
        <v>27</v>
      </c>
      <c r="K82">
        <v>0.1</v>
      </c>
      <c r="L82">
        <v>10</v>
      </c>
      <c r="M82">
        <v>3</v>
      </c>
      <c r="O82" t="s">
        <v>28</v>
      </c>
      <c r="P82" t="s">
        <v>29</v>
      </c>
      <c r="Q82">
        <v>-1</v>
      </c>
      <c r="R82">
        <v>5</v>
      </c>
      <c r="S82">
        <v>20</v>
      </c>
      <c r="T82">
        <v>0</v>
      </c>
      <c r="U82" t="s">
        <v>112</v>
      </c>
      <c r="V82">
        <v>0</v>
      </c>
    </row>
    <row r="83" spans="1:22" x14ac:dyDescent="0.25">
      <c r="A83">
        <v>82</v>
      </c>
      <c r="B83" t="s">
        <v>166</v>
      </c>
      <c r="C83" t="str">
        <f t="shared" si="6"/>
        <v>ZONE-rank(-1)</v>
      </c>
      <c r="D83" t="str">
        <f>IF(ISNA(HLOOKUP(C83,Run1_data!$C$1:$AF$34,1,0)),"","Run1")</f>
        <v/>
      </c>
      <c r="E83" t="s">
        <v>110</v>
      </c>
      <c r="F83" t="s">
        <v>25</v>
      </c>
      <c r="I83" t="s">
        <v>28</v>
      </c>
      <c r="J83" t="s">
        <v>29</v>
      </c>
      <c r="K83">
        <v>0.1</v>
      </c>
      <c r="L83">
        <v>10</v>
      </c>
      <c r="M83">
        <v>3</v>
      </c>
      <c r="O83" t="s">
        <v>28</v>
      </c>
      <c r="P83" t="s">
        <v>29</v>
      </c>
      <c r="Q83">
        <v>-1</v>
      </c>
      <c r="R83">
        <v>5</v>
      </c>
      <c r="S83">
        <v>20</v>
      </c>
      <c r="T83">
        <v>0</v>
      </c>
      <c r="U83" t="s">
        <v>112</v>
      </c>
      <c r="V83">
        <v>0</v>
      </c>
    </row>
    <row r="84" spans="1:22" x14ac:dyDescent="0.25">
      <c r="A84">
        <v>83</v>
      </c>
      <c r="B84" t="s">
        <v>166</v>
      </c>
      <c r="C84" t="str">
        <f t="shared" si="6"/>
        <v>ZONE-median_30d(-1)</v>
      </c>
      <c r="D84" t="str">
        <f>IF(ISNA(HLOOKUP(C84,Run1_data!$C$1:$AF$34,1,0)),"","Run1")</f>
        <v/>
      </c>
      <c r="E84" t="s">
        <v>110</v>
      </c>
      <c r="F84" t="s">
        <v>25</v>
      </c>
      <c r="I84" t="s">
        <v>108</v>
      </c>
      <c r="J84" t="s">
        <v>29</v>
      </c>
      <c r="K84">
        <v>0.1</v>
      </c>
      <c r="L84">
        <v>10</v>
      </c>
      <c r="M84">
        <v>3</v>
      </c>
      <c r="O84" t="s">
        <v>28</v>
      </c>
      <c r="P84" t="s">
        <v>29</v>
      </c>
      <c r="Q84">
        <v>-1</v>
      </c>
      <c r="R84">
        <v>5</v>
      </c>
      <c r="S84">
        <v>20</v>
      </c>
      <c r="T84">
        <v>0</v>
      </c>
      <c r="U84" t="s">
        <v>112</v>
      </c>
      <c r="V84">
        <v>0</v>
      </c>
    </row>
    <row r="85" spans="1:22" x14ac:dyDescent="0.25">
      <c r="A85">
        <v>84</v>
      </c>
      <c r="B85" t="s">
        <v>166</v>
      </c>
      <c r="C85" t="str">
        <f t="shared" si="6"/>
        <v>ZONE-spr100d(-1)</v>
      </c>
      <c r="D85" t="str">
        <f>IF(ISNA(HLOOKUP(C85,Run1_data!$C$1:$AF$34,1,0)),"","Run1")</f>
        <v>Run1</v>
      </c>
      <c r="E85" t="s">
        <v>110</v>
      </c>
      <c r="F85" t="s">
        <v>25</v>
      </c>
      <c r="I85" t="s">
        <v>30</v>
      </c>
      <c r="J85" t="s">
        <v>29</v>
      </c>
      <c r="K85">
        <v>0.1</v>
      </c>
      <c r="L85">
        <v>10</v>
      </c>
      <c r="M85">
        <v>3</v>
      </c>
      <c r="O85" t="s">
        <v>28</v>
      </c>
      <c r="P85" t="s">
        <v>29</v>
      </c>
      <c r="Q85">
        <v>-1</v>
      </c>
      <c r="R85">
        <v>5</v>
      </c>
      <c r="S85">
        <v>20</v>
      </c>
      <c r="T85">
        <v>0</v>
      </c>
      <c r="U85" t="s">
        <v>112</v>
      </c>
      <c r="V85">
        <v>0</v>
      </c>
    </row>
    <row r="86" spans="1:22" x14ac:dyDescent="0.25">
      <c r="A86">
        <v>85</v>
      </c>
      <c r="B86" t="s">
        <v>109</v>
      </c>
      <c r="C86" t="str">
        <f t="shared" ref="C86:C97" si="7">"FKgrade-"&amp;I86&amp;"("&amp;Q86&amp;")"</f>
        <v>FKgrade-rsi(-1)</v>
      </c>
      <c r="D86" t="str">
        <f>IF(ISNA(HLOOKUP(C86,Run1_data!$C$1:$AF$34,1,0)),"","Run1")</f>
        <v>Run1</v>
      </c>
      <c r="E86" s="10" t="s">
        <v>111</v>
      </c>
      <c r="F86" t="s">
        <v>25</v>
      </c>
      <c r="I86" t="s">
        <v>26</v>
      </c>
      <c r="J86" t="s">
        <v>27</v>
      </c>
      <c r="K86">
        <v>0.1</v>
      </c>
      <c r="L86">
        <v>10</v>
      </c>
      <c r="M86">
        <v>3</v>
      </c>
      <c r="O86" t="s">
        <v>28</v>
      </c>
      <c r="P86" t="s">
        <v>29</v>
      </c>
      <c r="Q86">
        <v>-1</v>
      </c>
      <c r="R86">
        <v>5</v>
      </c>
      <c r="S86">
        <v>20</v>
      </c>
      <c r="T86">
        <v>0</v>
      </c>
      <c r="U86" t="s">
        <v>112</v>
      </c>
      <c r="V86">
        <v>0</v>
      </c>
    </row>
    <row r="87" spans="1:22" x14ac:dyDescent="0.25">
      <c r="A87">
        <v>86</v>
      </c>
      <c r="B87" t="s">
        <v>109</v>
      </c>
      <c r="C87" t="str">
        <f t="shared" si="7"/>
        <v>FKgrade-beta3m(-1)</v>
      </c>
      <c r="D87" t="str">
        <f>IF(ISNA(HLOOKUP(C87,Run1_data!$C$1:$AF$34,1,0)),"","Run1")</f>
        <v>Run1</v>
      </c>
      <c r="E87" s="10" t="s">
        <v>111</v>
      </c>
      <c r="F87" t="s">
        <v>25</v>
      </c>
      <c r="I87" t="s">
        <v>101</v>
      </c>
      <c r="J87" t="s">
        <v>27</v>
      </c>
      <c r="K87">
        <v>0.1</v>
      </c>
      <c r="L87">
        <v>10</v>
      </c>
      <c r="M87">
        <v>3</v>
      </c>
      <c r="O87" t="s">
        <v>28</v>
      </c>
      <c r="P87" t="s">
        <v>29</v>
      </c>
      <c r="Q87">
        <v>-1</v>
      </c>
      <c r="R87">
        <v>5</v>
      </c>
      <c r="S87">
        <v>20</v>
      </c>
      <c r="T87">
        <v>0</v>
      </c>
      <c r="U87" t="s">
        <v>112</v>
      </c>
      <c r="V87">
        <v>0</v>
      </c>
    </row>
    <row r="88" spans="1:22" x14ac:dyDescent="0.25">
      <c r="A88">
        <v>87</v>
      </c>
      <c r="B88" t="s">
        <v>109</v>
      </c>
      <c r="C88" t="str">
        <f t="shared" si="7"/>
        <v>FKgrade-PdivMA20(-1)</v>
      </c>
      <c r="D88" t="str">
        <f>IF(ISNA(HLOOKUP(C88,Run1_data!$C$1:$AF$34,1,0)),"","Run1")</f>
        <v>Run1</v>
      </c>
      <c r="E88" s="10" t="s">
        <v>111</v>
      </c>
      <c r="F88" t="s">
        <v>25</v>
      </c>
      <c r="I88" t="s">
        <v>102</v>
      </c>
      <c r="J88" t="s">
        <v>27</v>
      </c>
      <c r="K88">
        <v>0.1</v>
      </c>
      <c r="L88">
        <v>10</v>
      </c>
      <c r="M88">
        <v>3</v>
      </c>
      <c r="O88" t="s">
        <v>28</v>
      </c>
      <c r="P88" t="s">
        <v>29</v>
      </c>
      <c r="Q88">
        <v>-1</v>
      </c>
      <c r="R88">
        <v>5</v>
      </c>
      <c r="S88">
        <v>20</v>
      </c>
      <c r="T88">
        <v>0</v>
      </c>
      <c r="U88" t="s">
        <v>112</v>
      </c>
      <c r="V88">
        <v>0</v>
      </c>
    </row>
    <row r="89" spans="1:22" x14ac:dyDescent="0.25">
      <c r="A89">
        <v>88</v>
      </c>
      <c r="B89" t="s">
        <v>109</v>
      </c>
      <c r="C89" t="str">
        <f t="shared" si="7"/>
        <v>FKgrade-per20d(-1)</v>
      </c>
      <c r="D89" t="str">
        <f>IF(ISNA(HLOOKUP(C89,Run1_data!$C$1:$AF$34,1,0)),"","Run1")</f>
        <v>Run1</v>
      </c>
      <c r="E89" s="10" t="s">
        <v>111</v>
      </c>
      <c r="F89" t="s">
        <v>25</v>
      </c>
      <c r="I89" t="s">
        <v>103</v>
      </c>
      <c r="J89" t="s">
        <v>27</v>
      </c>
      <c r="K89">
        <v>0.1</v>
      </c>
      <c r="L89">
        <v>10</v>
      </c>
      <c r="M89">
        <v>3</v>
      </c>
      <c r="O89" t="s">
        <v>28</v>
      </c>
      <c r="P89" t="s">
        <v>29</v>
      </c>
      <c r="Q89">
        <v>-1</v>
      </c>
      <c r="R89">
        <v>5</v>
      </c>
      <c r="S89">
        <v>20</v>
      </c>
      <c r="T89">
        <v>0</v>
      </c>
      <c r="U89" t="s">
        <v>112</v>
      </c>
      <c r="V89">
        <v>0</v>
      </c>
    </row>
    <row r="90" spans="1:22" x14ac:dyDescent="0.25">
      <c r="A90">
        <v>89</v>
      </c>
      <c r="B90" t="s">
        <v>109</v>
      </c>
      <c r="C90" t="str">
        <f t="shared" si="7"/>
        <v>FKgrade-quot1020(-1)</v>
      </c>
      <c r="D90" t="str">
        <f>IF(ISNA(HLOOKUP(C90,Run1_data!$C$1:$AF$34,1,0)),"","Run1")</f>
        <v>Run1</v>
      </c>
      <c r="E90" s="10" t="s">
        <v>111</v>
      </c>
      <c r="F90" t="s">
        <v>25</v>
      </c>
      <c r="I90" t="s">
        <v>104</v>
      </c>
      <c r="J90" t="s">
        <v>27</v>
      </c>
      <c r="K90">
        <v>0.1</v>
      </c>
      <c r="L90">
        <v>10</v>
      </c>
      <c r="M90">
        <v>3</v>
      </c>
      <c r="O90" t="s">
        <v>28</v>
      </c>
      <c r="P90" t="s">
        <v>29</v>
      </c>
      <c r="Q90">
        <v>-1</v>
      </c>
      <c r="R90">
        <v>5</v>
      </c>
      <c r="S90">
        <v>20</v>
      </c>
      <c r="T90">
        <v>0</v>
      </c>
      <c r="U90" t="s">
        <v>112</v>
      </c>
      <c r="V90">
        <v>0</v>
      </c>
    </row>
    <row r="91" spans="1:22" x14ac:dyDescent="0.25">
      <c r="A91">
        <v>90</v>
      </c>
      <c r="B91" t="s">
        <v>109</v>
      </c>
      <c r="C91" t="str">
        <f t="shared" si="7"/>
        <v>FKgrade-quot2050(-1)</v>
      </c>
      <c r="D91" t="str">
        <f>IF(ISNA(HLOOKUP(C91,Run1_data!$C$1:$AF$34,1,0)),"","Run1")</f>
        <v>Run1</v>
      </c>
      <c r="E91" s="10" t="s">
        <v>111</v>
      </c>
      <c r="F91" t="s">
        <v>25</v>
      </c>
      <c r="I91" t="s">
        <v>105</v>
      </c>
      <c r="J91" t="s">
        <v>27</v>
      </c>
      <c r="K91">
        <v>0.1</v>
      </c>
      <c r="L91">
        <v>10</v>
      </c>
      <c r="M91">
        <v>3</v>
      </c>
      <c r="O91" t="s">
        <v>28</v>
      </c>
      <c r="P91" t="s">
        <v>29</v>
      </c>
      <c r="Q91">
        <v>-1</v>
      </c>
      <c r="R91">
        <v>5</v>
      </c>
      <c r="S91">
        <v>20</v>
      </c>
      <c r="T91">
        <v>0</v>
      </c>
      <c r="U91" t="s">
        <v>112</v>
      </c>
      <c r="V91">
        <v>0</v>
      </c>
    </row>
    <row r="92" spans="1:22" x14ac:dyDescent="0.25">
      <c r="A92">
        <v>91</v>
      </c>
      <c r="B92" t="s">
        <v>109</v>
      </c>
      <c r="C92" t="str">
        <f t="shared" si="7"/>
        <v>FKgrade-sh3m(-1)</v>
      </c>
      <c r="D92" t="str">
        <f>IF(ISNA(HLOOKUP(C92,Run1_data!$C$1:$AF$34,1,0)),"","Run1")</f>
        <v>Run1</v>
      </c>
      <c r="E92" s="10" t="s">
        <v>111</v>
      </c>
      <c r="F92" t="s">
        <v>25</v>
      </c>
      <c r="I92" t="s">
        <v>106</v>
      </c>
      <c r="J92" t="s">
        <v>27</v>
      </c>
      <c r="K92">
        <v>0.1</v>
      </c>
      <c r="L92">
        <v>10</v>
      </c>
      <c r="M92">
        <v>3</v>
      </c>
      <c r="O92" t="s">
        <v>28</v>
      </c>
      <c r="P92" t="s">
        <v>29</v>
      </c>
      <c r="Q92">
        <v>-1</v>
      </c>
      <c r="R92">
        <v>5</v>
      </c>
      <c r="S92">
        <v>20</v>
      </c>
      <c r="T92">
        <v>0</v>
      </c>
      <c r="U92" t="s">
        <v>112</v>
      </c>
      <c r="V92">
        <v>0</v>
      </c>
    </row>
    <row r="93" spans="1:22" x14ac:dyDescent="0.25">
      <c r="A93">
        <v>92</v>
      </c>
      <c r="B93" t="s">
        <v>109</v>
      </c>
      <c r="C93" t="str">
        <f t="shared" si="7"/>
        <v>FKgrade-trump(-1)</v>
      </c>
      <c r="D93" t="str">
        <f>IF(ISNA(HLOOKUP(C93,Run1_data!$C$1:$AF$34,1,0)),"","Run1")</f>
        <v>Run1</v>
      </c>
      <c r="E93" s="10" t="s">
        <v>111</v>
      </c>
      <c r="F93" t="s">
        <v>25</v>
      </c>
      <c r="I93" t="s">
        <v>107</v>
      </c>
      <c r="J93" t="s">
        <v>27</v>
      </c>
      <c r="K93">
        <v>0.1</v>
      </c>
      <c r="L93">
        <v>10</v>
      </c>
      <c r="M93">
        <v>3</v>
      </c>
      <c r="O93" t="s">
        <v>28</v>
      </c>
      <c r="P93" t="s">
        <v>29</v>
      </c>
      <c r="Q93">
        <v>-1</v>
      </c>
      <c r="R93">
        <v>5</v>
      </c>
      <c r="S93">
        <v>20</v>
      </c>
      <c r="T93">
        <v>0</v>
      </c>
      <c r="U93" t="s">
        <v>112</v>
      </c>
      <c r="V93">
        <v>0</v>
      </c>
    </row>
    <row r="94" spans="1:22" x14ac:dyDescent="0.25">
      <c r="A94">
        <v>93</v>
      </c>
      <c r="B94" t="s">
        <v>109</v>
      </c>
      <c r="C94" t="str">
        <f t="shared" si="7"/>
        <v>FKgrade-vola20d(-1)</v>
      </c>
      <c r="D94" t="str">
        <f>IF(ISNA(HLOOKUP(C94,Run1_data!$C$1:$AF$34,1,0)),"","Run1")</f>
        <v>Run1</v>
      </c>
      <c r="E94" s="10" t="s">
        <v>111</v>
      </c>
      <c r="F94" t="s">
        <v>25</v>
      </c>
      <c r="I94" t="s">
        <v>113</v>
      </c>
      <c r="J94" t="s">
        <v>27</v>
      </c>
      <c r="K94">
        <v>0.1</v>
      </c>
      <c r="L94">
        <v>10</v>
      </c>
      <c r="M94">
        <v>3</v>
      </c>
      <c r="O94" t="s">
        <v>28</v>
      </c>
      <c r="P94" t="s">
        <v>29</v>
      </c>
      <c r="Q94">
        <v>-1</v>
      </c>
      <c r="R94">
        <v>5</v>
      </c>
      <c r="S94">
        <v>20</v>
      </c>
      <c r="T94">
        <v>0</v>
      </c>
      <c r="U94" t="s">
        <v>112</v>
      </c>
      <c r="V94">
        <v>0</v>
      </c>
    </row>
    <row r="95" spans="1:22" x14ac:dyDescent="0.25">
      <c r="A95">
        <v>94</v>
      </c>
      <c r="B95" t="s">
        <v>109</v>
      </c>
      <c r="C95" t="str">
        <f t="shared" si="7"/>
        <v>FKgrade-rank(-1)</v>
      </c>
      <c r="D95" t="str">
        <f>IF(ISNA(HLOOKUP(C95,Run1_data!$C$1:$AF$34,1,0)),"","Run1")</f>
        <v>Run1</v>
      </c>
      <c r="E95" s="10" t="s">
        <v>111</v>
      </c>
      <c r="F95" t="s">
        <v>25</v>
      </c>
      <c r="I95" t="s">
        <v>28</v>
      </c>
      <c r="J95" t="s">
        <v>29</v>
      </c>
      <c r="K95">
        <v>0.1</v>
      </c>
      <c r="L95">
        <v>10</v>
      </c>
      <c r="M95">
        <v>3</v>
      </c>
      <c r="O95" t="s">
        <v>28</v>
      </c>
      <c r="P95" t="s">
        <v>29</v>
      </c>
      <c r="Q95">
        <v>-1</v>
      </c>
      <c r="R95">
        <v>5</v>
      </c>
      <c r="S95">
        <v>20</v>
      </c>
      <c r="T95">
        <v>0</v>
      </c>
      <c r="U95" t="s">
        <v>112</v>
      </c>
      <c r="V95">
        <v>0</v>
      </c>
    </row>
    <row r="96" spans="1:22" x14ac:dyDescent="0.25">
      <c r="A96">
        <v>95</v>
      </c>
      <c r="B96" t="s">
        <v>109</v>
      </c>
      <c r="C96" t="str">
        <f t="shared" si="7"/>
        <v>FKgrade-median_30d(-1)</v>
      </c>
      <c r="D96" t="str">
        <f>IF(ISNA(HLOOKUP(C96,Run1_data!$C$1:$AF$34,1,0)),"","Run1")</f>
        <v>Run1</v>
      </c>
      <c r="E96" s="10" t="s">
        <v>111</v>
      </c>
      <c r="F96" t="s">
        <v>25</v>
      </c>
      <c r="I96" t="s">
        <v>108</v>
      </c>
      <c r="J96" t="s">
        <v>29</v>
      </c>
      <c r="K96">
        <v>0.1</v>
      </c>
      <c r="L96">
        <v>10</v>
      </c>
      <c r="M96">
        <v>3</v>
      </c>
      <c r="O96" t="s">
        <v>28</v>
      </c>
      <c r="P96" t="s">
        <v>29</v>
      </c>
      <c r="Q96">
        <v>-1</v>
      </c>
      <c r="R96">
        <v>5</v>
      </c>
      <c r="S96">
        <v>20</v>
      </c>
      <c r="T96">
        <v>0</v>
      </c>
      <c r="U96" t="s">
        <v>112</v>
      </c>
      <c r="V96">
        <v>0</v>
      </c>
    </row>
    <row r="97" spans="1:22" x14ac:dyDescent="0.25">
      <c r="A97">
        <v>96</v>
      </c>
      <c r="B97" t="s">
        <v>109</v>
      </c>
      <c r="C97" t="str">
        <f t="shared" si="7"/>
        <v>FKgrade-spr100d(-1)</v>
      </c>
      <c r="D97" t="str">
        <f>IF(ISNA(HLOOKUP(C97,Run1_data!$C$1:$AF$34,1,0)),"","Run1")</f>
        <v>Run1</v>
      </c>
      <c r="E97" s="10" t="s">
        <v>111</v>
      </c>
      <c r="F97" t="s">
        <v>25</v>
      </c>
      <c r="I97" t="s">
        <v>30</v>
      </c>
      <c r="J97" t="s">
        <v>29</v>
      </c>
      <c r="K97">
        <v>0.1</v>
      </c>
      <c r="L97">
        <v>10</v>
      </c>
      <c r="M97">
        <v>3</v>
      </c>
      <c r="O97" t="s">
        <v>28</v>
      </c>
      <c r="P97" t="s">
        <v>29</v>
      </c>
      <c r="Q97">
        <v>-1</v>
      </c>
      <c r="R97">
        <v>5</v>
      </c>
      <c r="S97">
        <v>20</v>
      </c>
      <c r="T97">
        <v>0</v>
      </c>
      <c r="U97" t="s">
        <v>112</v>
      </c>
      <c r="V97">
        <v>0</v>
      </c>
    </row>
  </sheetData>
  <pageMargins left="0.75" right="0.75" top="1" bottom="1" header="0.5" footer="0.5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5260B-6052-4ECE-B883-2A50C9740758}">
  <dimension ref="B1:AF34"/>
  <sheetViews>
    <sheetView topLeftCell="J1" workbookViewId="0">
      <selection activeCell="D1" sqref="D1:AM1"/>
    </sheetView>
  </sheetViews>
  <sheetFormatPr defaultRowHeight="15" x14ac:dyDescent="0.25"/>
  <cols>
    <col min="2" max="2" width="22" customWidth="1"/>
    <col min="3" max="3" width="19.5703125" customWidth="1"/>
    <col min="4" max="4" width="16" customWidth="1"/>
    <col min="5" max="5" width="18.7109375" customWidth="1"/>
    <col min="6" max="6" width="16" customWidth="1"/>
    <col min="7" max="7" width="24" customWidth="1"/>
    <col min="8" max="17" width="16" customWidth="1"/>
    <col min="18" max="18" width="22.5703125" customWidth="1"/>
    <col min="19" max="32" width="16" customWidth="1"/>
  </cols>
  <sheetData>
    <row r="1" spans="2:32" x14ac:dyDescent="0.25">
      <c r="B1" s="11" t="s">
        <v>114</v>
      </c>
      <c r="C1" s="7" t="s">
        <v>115</v>
      </c>
      <c r="D1" s="7" t="s">
        <v>116</v>
      </c>
      <c r="E1" s="7" t="s">
        <v>117</v>
      </c>
      <c r="F1" s="7" t="s">
        <v>118</v>
      </c>
      <c r="G1" s="7" t="s">
        <v>119</v>
      </c>
      <c r="H1" s="7" t="s">
        <v>120</v>
      </c>
      <c r="I1" s="7" t="s">
        <v>121</v>
      </c>
      <c r="J1" s="7" t="s">
        <v>122</v>
      </c>
      <c r="K1" s="7" t="s">
        <v>123</v>
      </c>
      <c r="L1" s="7" t="s">
        <v>124</v>
      </c>
      <c r="M1" s="7" t="s">
        <v>125</v>
      </c>
      <c r="N1" s="7" t="s">
        <v>126</v>
      </c>
      <c r="O1" s="7" t="s">
        <v>127</v>
      </c>
      <c r="P1" s="7" t="s">
        <v>128</v>
      </c>
      <c r="Q1" s="7" t="s">
        <v>129</v>
      </c>
      <c r="R1" s="7" t="s">
        <v>130</v>
      </c>
      <c r="S1" s="7" t="s">
        <v>131</v>
      </c>
      <c r="T1" s="7" t="s">
        <v>132</v>
      </c>
      <c r="U1" s="7" t="s">
        <v>133</v>
      </c>
      <c r="V1" s="7" t="s">
        <v>134</v>
      </c>
      <c r="W1" s="7" t="s">
        <v>135</v>
      </c>
      <c r="X1" s="7" t="s">
        <v>136</v>
      </c>
      <c r="Y1" s="7" t="s">
        <v>137</v>
      </c>
      <c r="Z1" s="7" t="s">
        <v>138</v>
      </c>
      <c r="AA1" s="7" t="s">
        <v>139</v>
      </c>
      <c r="AB1" s="7" t="s">
        <v>140</v>
      </c>
      <c r="AC1" s="7" t="s">
        <v>141</v>
      </c>
      <c r="AD1" s="7" t="s">
        <v>142</v>
      </c>
      <c r="AE1" s="7" t="s">
        <v>143</v>
      </c>
      <c r="AF1" s="7" t="s">
        <v>144</v>
      </c>
    </row>
    <row r="2" spans="2:32" x14ac:dyDescent="0.25">
      <c r="B2" s="11"/>
      <c r="C2" s="7">
        <f>VLOOKUP(C1,[1]Runs!$C$1:$D$105,2,0)</f>
        <v>104</v>
      </c>
      <c r="D2" s="7">
        <f>VLOOKUP(D1,[1]Runs!$C$1:$D$105,2,0)</f>
        <v>65</v>
      </c>
      <c r="E2" s="7">
        <f>VLOOKUP(E1,[1]Runs!$C$1:$D$105,2,0)</f>
        <v>91</v>
      </c>
      <c r="F2" s="7">
        <f>VLOOKUP(F1,[1]Runs!$C$1:$D$105,2,0)</f>
        <v>61</v>
      </c>
      <c r="G2" s="7">
        <f>VLOOKUP(G1,[1]Runs!$C$1:$D$105,2,0)</f>
        <v>78</v>
      </c>
      <c r="H2" s="7">
        <f>VLOOKUP(H1,[1]Runs!$C$1:$D$105,2,0)</f>
        <v>100</v>
      </c>
      <c r="I2" s="7">
        <f>VLOOKUP(I1,[1]Runs!$C$1:$D$105,2,0)</f>
        <v>87</v>
      </c>
      <c r="J2" s="7">
        <f>VLOOKUP(J1,[1]Runs!$C$1:$D$105,2,0)</f>
        <v>98</v>
      </c>
      <c r="K2" s="7">
        <f>VLOOKUP(K1,[1]Runs!$C$1:$D$105,2,0)</f>
        <v>72</v>
      </c>
      <c r="L2" s="7">
        <f>VLOOKUP(L1,[1]Runs!$C$1:$D$105,2,0)</f>
        <v>85</v>
      </c>
      <c r="M2" s="7">
        <f>VLOOKUP(M1,[1]Runs!$C$1:$D$105,2,0)</f>
        <v>84</v>
      </c>
      <c r="N2" s="7">
        <f>VLOOKUP(N1,[1]Runs!$C$1:$D$105,2,0)</f>
        <v>93</v>
      </c>
      <c r="O2" s="7">
        <f>VLOOKUP(O1,[1]Runs!$C$1:$D$105,2,0)</f>
        <v>53</v>
      </c>
      <c r="P2" s="7">
        <f>VLOOKUP(P1,[1]Runs!$C$1:$D$105,2,0)</f>
        <v>101</v>
      </c>
      <c r="Q2" s="7">
        <f>VLOOKUP(Q1,[1]Runs!$C$1:$D$105,2,0)</f>
        <v>55</v>
      </c>
      <c r="R2" s="7">
        <f>VLOOKUP(R1,[1]Runs!$C$1:$D$105,2,0)</f>
        <v>59</v>
      </c>
      <c r="S2" s="7">
        <f>VLOOKUP(S1,[1]Runs!$C$1:$D$105,2,0)</f>
        <v>102</v>
      </c>
      <c r="T2" s="7">
        <f>VLOOKUP(T1,[1]Runs!$C$1:$D$105,2,0)</f>
        <v>63</v>
      </c>
      <c r="U2" s="7">
        <f>VLOOKUP(U1,[1]Runs!$C$1:$D$105,2,0)</f>
        <v>97</v>
      </c>
      <c r="V2" s="7">
        <f>VLOOKUP(V1,[1]Runs!$C$1:$D$105,2,0)</f>
        <v>96</v>
      </c>
      <c r="W2" s="7">
        <f>VLOOKUP(W1,[1]Runs!$C$1:$D$105,2,0)</f>
        <v>92</v>
      </c>
      <c r="X2" s="7">
        <f>VLOOKUP(X1,[1]Runs!$C$1:$D$105,2,0)</f>
        <v>94</v>
      </c>
      <c r="Y2" s="7">
        <f>VLOOKUP(Y1,[1]Runs!$C$1:$D$105,2,0)</f>
        <v>95</v>
      </c>
      <c r="Z2" s="7">
        <f>VLOOKUP(Z1,[1]Runs!$C$1:$D$105,2,0)</f>
        <v>66</v>
      </c>
      <c r="AA2" s="7">
        <f>VLOOKUP(AA1,[1]Runs!$C$1:$D$105,2,0)</f>
        <v>103</v>
      </c>
      <c r="AB2" s="7">
        <f>VLOOKUP(AB1,[1]Runs!$C$1:$D$105,2,0)</f>
        <v>54</v>
      </c>
      <c r="AC2" s="7">
        <f>VLOOKUP(AC1,[1]Runs!$C$1:$D$105,2,0)</f>
        <v>76</v>
      </c>
      <c r="AD2" s="7">
        <f>VLOOKUP(AD1,[1]Runs!$C$1:$D$105,2,0)</f>
        <v>68</v>
      </c>
      <c r="AE2" s="7">
        <f>VLOOKUP(AE1,[1]Runs!$C$1:$D$105,2,0)</f>
        <v>67</v>
      </c>
      <c r="AF2" s="7">
        <f>VLOOKUP(AF1,[1]Runs!$C$1:$D$105,2,0)</f>
        <v>75</v>
      </c>
    </row>
    <row r="3" spans="2:32" x14ac:dyDescent="0.25">
      <c r="B3" s="11" t="s">
        <v>4</v>
      </c>
      <c r="C3" t="s">
        <v>111</v>
      </c>
      <c r="D3" t="s">
        <v>24</v>
      </c>
      <c r="E3" t="s">
        <v>110</v>
      </c>
      <c r="F3" t="s">
        <v>24</v>
      </c>
      <c r="G3" t="s">
        <v>100</v>
      </c>
      <c r="H3" t="s">
        <v>111</v>
      </c>
      <c r="I3" t="s">
        <v>110</v>
      </c>
      <c r="J3" t="s">
        <v>111</v>
      </c>
      <c r="K3" t="s">
        <v>100</v>
      </c>
      <c r="L3" t="s">
        <v>110</v>
      </c>
      <c r="M3" t="s">
        <v>110</v>
      </c>
      <c r="N3" t="s">
        <v>111</v>
      </c>
      <c r="O3" t="s">
        <v>24</v>
      </c>
      <c r="P3" t="s">
        <v>111</v>
      </c>
      <c r="Q3" t="s">
        <v>24</v>
      </c>
      <c r="R3" t="s">
        <v>24</v>
      </c>
      <c r="S3" t="s">
        <v>111</v>
      </c>
      <c r="T3" t="s">
        <v>24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100</v>
      </c>
      <c r="AA3" t="s">
        <v>111</v>
      </c>
      <c r="AB3" t="s">
        <v>24</v>
      </c>
      <c r="AC3" t="s">
        <v>100</v>
      </c>
      <c r="AD3" t="s">
        <v>100</v>
      </c>
      <c r="AE3" t="s">
        <v>100</v>
      </c>
      <c r="AF3" t="s">
        <v>100</v>
      </c>
    </row>
    <row r="4" spans="2:32" x14ac:dyDescent="0.25">
      <c r="B4" s="11" t="s">
        <v>5</v>
      </c>
      <c r="C4" t="s">
        <v>25</v>
      </c>
      <c r="D4" t="s">
        <v>25</v>
      </c>
      <c r="E4" t="s">
        <v>25</v>
      </c>
      <c r="F4" t="s">
        <v>25</v>
      </c>
      <c r="G4" t="s">
        <v>25</v>
      </c>
      <c r="H4" t="s">
        <v>25</v>
      </c>
      <c r="I4" t="s">
        <v>25</v>
      </c>
      <c r="J4" t="s">
        <v>25</v>
      </c>
      <c r="K4" t="s">
        <v>25</v>
      </c>
      <c r="L4" t="s">
        <v>25</v>
      </c>
      <c r="M4" t="s">
        <v>25</v>
      </c>
      <c r="N4" t="s">
        <v>25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</row>
    <row r="5" spans="2:32" x14ac:dyDescent="0.25">
      <c r="B5" s="11" t="s">
        <v>18</v>
      </c>
      <c r="C5">
        <v>20</v>
      </c>
      <c r="D5">
        <v>20</v>
      </c>
      <c r="E5">
        <v>20</v>
      </c>
      <c r="F5">
        <v>20</v>
      </c>
      <c r="G5">
        <v>20</v>
      </c>
      <c r="H5">
        <v>20</v>
      </c>
      <c r="I5">
        <v>20</v>
      </c>
      <c r="J5">
        <v>20</v>
      </c>
      <c r="K5">
        <v>20</v>
      </c>
      <c r="L5">
        <v>20</v>
      </c>
      <c r="M5">
        <v>20</v>
      </c>
      <c r="N5">
        <v>20</v>
      </c>
      <c r="O5">
        <v>20</v>
      </c>
      <c r="P5">
        <v>20</v>
      </c>
      <c r="Q5">
        <v>20</v>
      </c>
      <c r="R5">
        <v>20</v>
      </c>
      <c r="S5">
        <v>20</v>
      </c>
      <c r="T5">
        <v>20</v>
      </c>
      <c r="U5">
        <v>20</v>
      </c>
      <c r="V5">
        <v>20</v>
      </c>
      <c r="W5">
        <v>20</v>
      </c>
      <c r="X5">
        <v>20</v>
      </c>
      <c r="Y5">
        <v>20</v>
      </c>
      <c r="Z5">
        <v>20</v>
      </c>
      <c r="AA5">
        <v>20</v>
      </c>
      <c r="AB5">
        <v>20</v>
      </c>
      <c r="AC5">
        <v>20</v>
      </c>
      <c r="AD5">
        <v>20</v>
      </c>
      <c r="AE5">
        <v>20</v>
      </c>
      <c r="AF5">
        <v>20</v>
      </c>
    </row>
    <row r="6" spans="2:32" x14ac:dyDescent="0.25">
      <c r="B6" s="11" t="s">
        <v>8</v>
      </c>
      <c r="C6" t="s">
        <v>30</v>
      </c>
      <c r="D6" t="s">
        <v>30</v>
      </c>
      <c r="E6" t="s">
        <v>30</v>
      </c>
      <c r="F6" t="s">
        <v>107</v>
      </c>
      <c r="G6" t="s">
        <v>30</v>
      </c>
      <c r="H6" t="s">
        <v>107</v>
      </c>
      <c r="I6" t="s">
        <v>107</v>
      </c>
      <c r="J6" t="s">
        <v>106</v>
      </c>
      <c r="K6" t="s">
        <v>106</v>
      </c>
      <c r="L6" t="s">
        <v>106</v>
      </c>
      <c r="M6" t="s">
        <v>105</v>
      </c>
      <c r="N6" t="s">
        <v>101</v>
      </c>
      <c r="O6" t="s">
        <v>26</v>
      </c>
      <c r="P6" t="s">
        <v>113</v>
      </c>
      <c r="Q6" t="s">
        <v>102</v>
      </c>
      <c r="R6" t="s">
        <v>106</v>
      </c>
      <c r="S6" t="s">
        <v>28</v>
      </c>
      <c r="T6" t="s">
        <v>28</v>
      </c>
      <c r="U6" t="s">
        <v>105</v>
      </c>
      <c r="V6" t="s">
        <v>104</v>
      </c>
      <c r="W6" t="s">
        <v>26</v>
      </c>
      <c r="X6" t="s">
        <v>102</v>
      </c>
      <c r="Y6" t="s">
        <v>103</v>
      </c>
      <c r="Z6" t="s">
        <v>26</v>
      </c>
      <c r="AA6" t="s">
        <v>108</v>
      </c>
      <c r="AB6" t="s">
        <v>101</v>
      </c>
      <c r="AC6" t="s">
        <v>28</v>
      </c>
      <c r="AD6" t="s">
        <v>102</v>
      </c>
      <c r="AE6" t="s">
        <v>101</v>
      </c>
      <c r="AF6" t="s">
        <v>113</v>
      </c>
    </row>
    <row r="7" spans="2:32" x14ac:dyDescent="0.25">
      <c r="B7" s="11" t="s">
        <v>9</v>
      </c>
      <c r="C7" t="s">
        <v>29</v>
      </c>
      <c r="D7" t="s">
        <v>29</v>
      </c>
      <c r="E7" t="s">
        <v>29</v>
      </c>
      <c r="F7" t="s">
        <v>27</v>
      </c>
      <c r="G7" t="s">
        <v>29</v>
      </c>
      <c r="H7" t="s">
        <v>27</v>
      </c>
      <c r="I7" t="s">
        <v>27</v>
      </c>
      <c r="J7" t="s">
        <v>27</v>
      </c>
      <c r="K7" t="s">
        <v>27</v>
      </c>
      <c r="L7" t="s">
        <v>27</v>
      </c>
      <c r="M7" t="s">
        <v>27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29</v>
      </c>
      <c r="T7" t="s">
        <v>29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 t="s">
        <v>29</v>
      </c>
      <c r="AB7" t="s">
        <v>27</v>
      </c>
      <c r="AC7" t="s">
        <v>29</v>
      </c>
      <c r="AD7" t="s">
        <v>27</v>
      </c>
      <c r="AE7" t="s">
        <v>27</v>
      </c>
      <c r="AF7" t="s">
        <v>27</v>
      </c>
    </row>
    <row r="8" spans="2:32" x14ac:dyDescent="0.25">
      <c r="B8" s="11" t="s">
        <v>14</v>
      </c>
      <c r="C8" t="s">
        <v>28</v>
      </c>
      <c r="D8" t="s">
        <v>28</v>
      </c>
      <c r="E8" t="s">
        <v>28</v>
      </c>
      <c r="F8" t="s">
        <v>28</v>
      </c>
      <c r="G8" t="s">
        <v>28</v>
      </c>
      <c r="H8" t="s">
        <v>28</v>
      </c>
      <c r="I8" t="s">
        <v>28</v>
      </c>
      <c r="J8" t="s">
        <v>28</v>
      </c>
      <c r="K8" t="s">
        <v>28</v>
      </c>
      <c r="L8" t="s">
        <v>28</v>
      </c>
      <c r="M8" t="s">
        <v>28</v>
      </c>
      <c r="N8" t="s">
        <v>28</v>
      </c>
      <c r="O8" t="s">
        <v>28</v>
      </c>
      <c r="P8" t="s">
        <v>28</v>
      </c>
      <c r="Q8" t="s">
        <v>28</v>
      </c>
      <c r="R8" t="s">
        <v>28</v>
      </c>
      <c r="S8" t="s">
        <v>28</v>
      </c>
      <c r="T8" t="s">
        <v>28</v>
      </c>
      <c r="U8" t="s">
        <v>28</v>
      </c>
      <c r="V8" t="s">
        <v>28</v>
      </c>
      <c r="W8" t="s">
        <v>28</v>
      </c>
      <c r="X8" t="s">
        <v>28</v>
      </c>
      <c r="Y8" t="s">
        <v>28</v>
      </c>
      <c r="Z8" t="s">
        <v>28</v>
      </c>
      <c r="AA8" t="s">
        <v>28</v>
      </c>
      <c r="AB8" t="s">
        <v>28</v>
      </c>
      <c r="AC8" t="s">
        <v>28</v>
      </c>
      <c r="AD8" t="s">
        <v>28</v>
      </c>
      <c r="AE8" t="s">
        <v>28</v>
      </c>
      <c r="AF8" t="s">
        <v>28</v>
      </c>
    </row>
    <row r="9" spans="2:32" x14ac:dyDescent="0.25">
      <c r="B9" s="11" t="s">
        <v>15</v>
      </c>
      <c r="C9" t="s">
        <v>29</v>
      </c>
      <c r="D9" t="s">
        <v>29</v>
      </c>
      <c r="E9" t="s">
        <v>29</v>
      </c>
      <c r="F9" t="s">
        <v>29</v>
      </c>
      <c r="G9" t="s">
        <v>29</v>
      </c>
      <c r="H9" t="s">
        <v>29</v>
      </c>
      <c r="I9" t="s">
        <v>29</v>
      </c>
      <c r="J9" t="s">
        <v>29</v>
      </c>
      <c r="K9" t="s">
        <v>29</v>
      </c>
      <c r="L9" t="s">
        <v>29</v>
      </c>
      <c r="M9" t="s">
        <v>29</v>
      </c>
      <c r="N9" t="s">
        <v>29</v>
      </c>
      <c r="O9" t="s">
        <v>29</v>
      </c>
      <c r="P9" t="s">
        <v>29</v>
      </c>
      <c r="Q9" t="s">
        <v>29</v>
      </c>
      <c r="R9" t="s">
        <v>29</v>
      </c>
      <c r="S9" t="s">
        <v>29</v>
      </c>
      <c r="T9" t="s">
        <v>29</v>
      </c>
      <c r="U9" t="s">
        <v>29</v>
      </c>
      <c r="V9" t="s">
        <v>29</v>
      </c>
      <c r="W9" t="s">
        <v>29</v>
      </c>
      <c r="X9" t="s">
        <v>29</v>
      </c>
      <c r="Y9" t="s">
        <v>29</v>
      </c>
      <c r="Z9" t="s">
        <v>29</v>
      </c>
      <c r="AA9" t="s">
        <v>29</v>
      </c>
      <c r="AB9" t="s">
        <v>29</v>
      </c>
      <c r="AC9" t="s">
        <v>29</v>
      </c>
      <c r="AD9" t="s">
        <v>29</v>
      </c>
      <c r="AE9" t="s">
        <v>29</v>
      </c>
      <c r="AF9" t="s">
        <v>29</v>
      </c>
    </row>
    <row r="10" spans="2:32" x14ac:dyDescent="0.25">
      <c r="B10" s="11" t="s">
        <v>16</v>
      </c>
      <c r="C10" t="s">
        <v>145</v>
      </c>
      <c r="D10" t="s">
        <v>145</v>
      </c>
      <c r="E10" t="s">
        <v>145</v>
      </c>
      <c r="F10" t="s">
        <v>145</v>
      </c>
      <c r="G10" t="s">
        <v>145</v>
      </c>
      <c r="H10" t="s">
        <v>145</v>
      </c>
      <c r="I10" t="s">
        <v>145</v>
      </c>
      <c r="J10" t="s">
        <v>145</v>
      </c>
      <c r="K10" t="s">
        <v>145</v>
      </c>
      <c r="L10" t="s">
        <v>145</v>
      </c>
      <c r="M10" t="s">
        <v>145</v>
      </c>
      <c r="N10" t="s">
        <v>145</v>
      </c>
      <c r="O10" t="s">
        <v>145</v>
      </c>
      <c r="P10" t="s">
        <v>145</v>
      </c>
      <c r="Q10" t="s">
        <v>145</v>
      </c>
      <c r="R10" t="s">
        <v>145</v>
      </c>
      <c r="S10" t="s">
        <v>145</v>
      </c>
      <c r="T10" t="s">
        <v>145</v>
      </c>
      <c r="U10" t="s">
        <v>145</v>
      </c>
      <c r="V10" t="s">
        <v>145</v>
      </c>
      <c r="W10" t="s">
        <v>145</v>
      </c>
      <c r="X10" t="s">
        <v>145</v>
      </c>
      <c r="Y10" t="s">
        <v>145</v>
      </c>
      <c r="Z10" t="s">
        <v>145</v>
      </c>
      <c r="AA10" t="s">
        <v>145</v>
      </c>
      <c r="AB10" t="s">
        <v>145</v>
      </c>
      <c r="AC10" t="s">
        <v>145</v>
      </c>
      <c r="AD10" t="s">
        <v>145</v>
      </c>
      <c r="AE10" t="s">
        <v>145</v>
      </c>
      <c r="AF10" t="s">
        <v>145</v>
      </c>
    </row>
    <row r="11" spans="2:32" x14ac:dyDescent="0.25">
      <c r="B11" s="11" t="s">
        <v>17</v>
      </c>
      <c r="C11">
        <v>5</v>
      </c>
      <c r="D11">
        <v>5</v>
      </c>
      <c r="E11">
        <v>5</v>
      </c>
      <c r="F11">
        <v>5</v>
      </c>
      <c r="G11">
        <v>5</v>
      </c>
      <c r="H11">
        <v>5</v>
      </c>
      <c r="I11">
        <v>5</v>
      </c>
      <c r="J11">
        <v>5</v>
      </c>
      <c r="K11">
        <v>5</v>
      </c>
      <c r="L11">
        <v>5</v>
      </c>
      <c r="M11">
        <v>5</v>
      </c>
      <c r="N11">
        <v>5</v>
      </c>
      <c r="O11">
        <v>5</v>
      </c>
      <c r="P11">
        <v>5</v>
      </c>
      <c r="Q11">
        <v>5</v>
      </c>
      <c r="R11">
        <v>5</v>
      </c>
      <c r="S11">
        <v>5</v>
      </c>
      <c r="T11">
        <v>5</v>
      </c>
      <c r="U11">
        <v>5</v>
      </c>
      <c r="V11">
        <v>5</v>
      </c>
      <c r="W11">
        <v>5</v>
      </c>
      <c r="X11">
        <v>5</v>
      </c>
      <c r="Y11">
        <v>5</v>
      </c>
      <c r="Z11">
        <v>5</v>
      </c>
      <c r="AA11">
        <v>5</v>
      </c>
      <c r="AB11">
        <v>5</v>
      </c>
      <c r="AC11">
        <v>5</v>
      </c>
      <c r="AD11">
        <v>5</v>
      </c>
      <c r="AE11">
        <v>5</v>
      </c>
      <c r="AF11">
        <v>5</v>
      </c>
    </row>
    <row r="12" spans="2:32" x14ac:dyDescent="0.25">
      <c r="B12" s="11" t="s">
        <v>12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3</v>
      </c>
      <c r="L12">
        <v>3</v>
      </c>
      <c r="M12">
        <v>3</v>
      </c>
      <c r="N12">
        <v>3</v>
      </c>
      <c r="O12">
        <v>3</v>
      </c>
      <c r="P12">
        <v>3</v>
      </c>
      <c r="Q12">
        <v>3</v>
      </c>
      <c r="R12">
        <v>3</v>
      </c>
      <c r="S12">
        <v>3</v>
      </c>
      <c r="T12">
        <v>3</v>
      </c>
      <c r="U12">
        <v>3</v>
      </c>
      <c r="V12">
        <v>3</v>
      </c>
      <c r="W12">
        <v>3</v>
      </c>
      <c r="X12">
        <v>3</v>
      </c>
      <c r="Y12">
        <v>3</v>
      </c>
      <c r="Z12">
        <v>3</v>
      </c>
      <c r="AA12">
        <v>3</v>
      </c>
      <c r="AB12">
        <v>3</v>
      </c>
      <c r="AC12">
        <v>3</v>
      </c>
      <c r="AD12">
        <v>3</v>
      </c>
      <c r="AE12">
        <v>3</v>
      </c>
      <c r="AF12">
        <v>3</v>
      </c>
    </row>
    <row r="13" spans="2:32" x14ac:dyDescent="0.25">
      <c r="B13" s="11" t="s">
        <v>13</v>
      </c>
    </row>
    <row r="14" spans="2:32" x14ac:dyDescent="0.25">
      <c r="B14" s="11" t="s">
        <v>146</v>
      </c>
      <c r="C14">
        <v>1643</v>
      </c>
      <c r="D14">
        <v>1643</v>
      </c>
      <c r="E14">
        <v>1643</v>
      </c>
      <c r="F14">
        <v>1864</v>
      </c>
      <c r="G14">
        <v>1643</v>
      </c>
      <c r="H14">
        <v>1864</v>
      </c>
      <c r="I14">
        <v>1864</v>
      </c>
      <c r="J14">
        <v>1610</v>
      </c>
      <c r="K14">
        <v>1610</v>
      </c>
      <c r="L14">
        <v>1610</v>
      </c>
      <c r="M14">
        <v>1592</v>
      </c>
      <c r="N14">
        <v>1610</v>
      </c>
      <c r="O14">
        <v>1557</v>
      </c>
      <c r="P14">
        <v>1563</v>
      </c>
      <c r="Q14">
        <v>1562</v>
      </c>
      <c r="R14">
        <v>1610</v>
      </c>
      <c r="S14">
        <v>1544</v>
      </c>
      <c r="T14">
        <v>1544</v>
      </c>
      <c r="U14">
        <v>1592</v>
      </c>
      <c r="V14">
        <v>1562</v>
      </c>
      <c r="W14">
        <v>1557</v>
      </c>
      <c r="X14">
        <v>1562</v>
      </c>
      <c r="Y14">
        <v>1563</v>
      </c>
      <c r="Z14">
        <v>1557</v>
      </c>
      <c r="AA14">
        <v>1572</v>
      </c>
      <c r="AB14">
        <v>1610</v>
      </c>
      <c r="AC14">
        <v>1544</v>
      </c>
      <c r="AD14">
        <v>1562</v>
      </c>
      <c r="AE14">
        <v>1610</v>
      </c>
      <c r="AF14">
        <v>1563</v>
      </c>
    </row>
    <row r="15" spans="2:32" x14ac:dyDescent="0.25">
      <c r="B15" s="11" t="s">
        <v>147</v>
      </c>
      <c r="C15">
        <v>2187</v>
      </c>
      <c r="D15">
        <v>2187</v>
      </c>
      <c r="E15">
        <v>2187</v>
      </c>
      <c r="F15">
        <v>2187</v>
      </c>
      <c r="G15">
        <v>2187</v>
      </c>
      <c r="H15">
        <v>2187</v>
      </c>
      <c r="I15">
        <v>2187</v>
      </c>
      <c r="J15">
        <v>2187</v>
      </c>
      <c r="K15">
        <v>2187</v>
      </c>
      <c r="L15">
        <v>2187</v>
      </c>
      <c r="M15">
        <v>2187</v>
      </c>
      <c r="N15">
        <v>2187</v>
      </c>
      <c r="O15">
        <v>2187</v>
      </c>
      <c r="P15">
        <v>2187</v>
      </c>
      <c r="Q15">
        <v>2187</v>
      </c>
      <c r="R15">
        <v>2187</v>
      </c>
      <c r="S15">
        <v>2187</v>
      </c>
      <c r="T15">
        <v>2187</v>
      </c>
      <c r="U15">
        <v>2187</v>
      </c>
      <c r="V15">
        <v>2187</v>
      </c>
      <c r="W15">
        <v>2187</v>
      </c>
      <c r="X15">
        <v>2187</v>
      </c>
      <c r="Y15">
        <v>2187</v>
      </c>
      <c r="Z15">
        <v>2187</v>
      </c>
      <c r="AA15">
        <v>2187</v>
      </c>
      <c r="AB15">
        <v>2187</v>
      </c>
      <c r="AC15">
        <v>2187</v>
      </c>
      <c r="AD15">
        <v>2187</v>
      </c>
      <c r="AE15">
        <v>2187</v>
      </c>
      <c r="AF15">
        <v>2187</v>
      </c>
    </row>
    <row r="16" spans="2:32" x14ac:dyDescent="0.25">
      <c r="B16" s="11" t="s">
        <v>148</v>
      </c>
      <c r="C16">
        <v>666</v>
      </c>
      <c r="D16">
        <v>666</v>
      </c>
      <c r="E16">
        <v>666</v>
      </c>
      <c r="F16">
        <v>666</v>
      </c>
      <c r="G16">
        <v>666</v>
      </c>
      <c r="H16">
        <v>666</v>
      </c>
      <c r="I16">
        <v>666</v>
      </c>
      <c r="J16">
        <v>666</v>
      </c>
      <c r="K16">
        <v>666</v>
      </c>
      <c r="L16">
        <v>666</v>
      </c>
      <c r="M16">
        <v>666</v>
      </c>
      <c r="N16">
        <v>666</v>
      </c>
      <c r="O16">
        <v>666</v>
      </c>
      <c r="P16">
        <v>666</v>
      </c>
      <c r="Q16">
        <v>666</v>
      </c>
      <c r="R16">
        <v>666</v>
      </c>
      <c r="S16">
        <v>666</v>
      </c>
      <c r="T16">
        <v>666</v>
      </c>
      <c r="U16">
        <v>666</v>
      </c>
      <c r="V16">
        <v>666</v>
      </c>
      <c r="W16">
        <v>666</v>
      </c>
      <c r="X16">
        <v>666</v>
      </c>
      <c r="Y16">
        <v>666</v>
      </c>
      <c r="Z16">
        <v>666</v>
      </c>
      <c r="AA16">
        <v>666</v>
      </c>
      <c r="AB16">
        <v>666</v>
      </c>
      <c r="AC16">
        <v>666</v>
      </c>
      <c r="AD16">
        <v>666</v>
      </c>
      <c r="AE16">
        <v>666</v>
      </c>
      <c r="AF16">
        <v>666</v>
      </c>
    </row>
    <row r="17" spans="2:32" x14ac:dyDescent="0.25">
      <c r="B17" s="11" t="s">
        <v>149</v>
      </c>
      <c r="C17">
        <v>407</v>
      </c>
      <c r="D17">
        <v>407</v>
      </c>
      <c r="E17">
        <v>407</v>
      </c>
      <c r="F17">
        <v>324</v>
      </c>
      <c r="G17">
        <v>390</v>
      </c>
      <c r="H17">
        <v>324</v>
      </c>
      <c r="I17">
        <v>310</v>
      </c>
      <c r="J17">
        <v>578</v>
      </c>
      <c r="K17">
        <v>548</v>
      </c>
      <c r="L17">
        <v>576</v>
      </c>
      <c r="M17">
        <v>572</v>
      </c>
      <c r="N17">
        <v>578</v>
      </c>
      <c r="O17">
        <v>631</v>
      </c>
      <c r="P17">
        <v>625</v>
      </c>
      <c r="Q17">
        <v>626</v>
      </c>
      <c r="R17">
        <v>578</v>
      </c>
      <c r="S17">
        <v>644</v>
      </c>
      <c r="T17">
        <v>644</v>
      </c>
      <c r="U17">
        <v>596</v>
      </c>
      <c r="V17">
        <v>626</v>
      </c>
      <c r="W17">
        <v>631</v>
      </c>
      <c r="X17">
        <v>626</v>
      </c>
      <c r="Y17">
        <v>625</v>
      </c>
      <c r="Z17">
        <v>603</v>
      </c>
      <c r="AA17">
        <v>616</v>
      </c>
      <c r="AB17">
        <v>578</v>
      </c>
      <c r="AC17">
        <v>624</v>
      </c>
      <c r="AD17">
        <v>612</v>
      </c>
      <c r="AE17">
        <v>578</v>
      </c>
      <c r="AF17">
        <v>625</v>
      </c>
    </row>
    <row r="18" spans="2:32" x14ac:dyDescent="0.25">
      <c r="B18" s="12" t="s">
        <v>150</v>
      </c>
      <c r="C18" s="9">
        <v>6.2249999999999996</v>
      </c>
      <c r="D18" s="9">
        <v>7.0826000000000002</v>
      </c>
      <c r="E18" s="9">
        <v>5.6494</v>
      </c>
      <c r="F18" s="9">
        <v>4.3871000000000002</v>
      </c>
      <c r="G18" s="9">
        <v>4.5635000000000003</v>
      </c>
      <c r="H18" s="9">
        <v>6.1557000000000004</v>
      </c>
      <c r="I18" s="9">
        <v>5.2348999999999997</v>
      </c>
      <c r="J18" s="9">
        <v>4.8384</v>
      </c>
      <c r="K18" s="9">
        <v>4.5685000000000002</v>
      </c>
      <c r="L18" s="9">
        <v>4.1459000000000001</v>
      </c>
      <c r="M18" s="9">
        <v>4.0301</v>
      </c>
      <c r="N18" s="9">
        <v>4.6757</v>
      </c>
      <c r="O18" s="9">
        <v>4.4081000000000001</v>
      </c>
      <c r="P18" s="9">
        <v>4.2317999999999998</v>
      </c>
      <c r="Q18" s="9">
        <v>4.1188000000000002</v>
      </c>
      <c r="R18" s="9">
        <v>4.8928000000000003</v>
      </c>
      <c r="S18" s="9">
        <v>4.3478000000000003</v>
      </c>
      <c r="T18" s="9">
        <v>4.4884000000000004</v>
      </c>
      <c r="U18" s="9">
        <v>4.4577999999999998</v>
      </c>
      <c r="V18" s="9">
        <v>4.1334999999999997</v>
      </c>
      <c r="W18" s="9">
        <v>4.2377000000000002</v>
      </c>
      <c r="X18" s="9">
        <v>4.1557000000000004</v>
      </c>
      <c r="Y18" s="9">
        <v>4.1508000000000003</v>
      </c>
      <c r="Z18" s="9">
        <v>4.0982000000000003</v>
      </c>
      <c r="AA18" s="9">
        <v>4.1924999999999999</v>
      </c>
      <c r="AB18" s="9">
        <v>5.3178999999999998</v>
      </c>
      <c r="AC18" s="9">
        <v>4.7365000000000004</v>
      </c>
      <c r="AD18" s="9">
        <v>4.1886999999999999</v>
      </c>
      <c r="AE18" s="9">
        <v>4.9073000000000002</v>
      </c>
      <c r="AF18" s="9">
        <v>4.4294000000000002</v>
      </c>
    </row>
    <row r="19" spans="2:32" x14ac:dyDescent="0.25">
      <c r="B19" s="11" t="s">
        <v>151</v>
      </c>
      <c r="C19">
        <v>1.44</v>
      </c>
      <c r="D19">
        <v>1.31</v>
      </c>
      <c r="E19">
        <v>1.18</v>
      </c>
      <c r="F19">
        <v>0.94</v>
      </c>
      <c r="G19">
        <v>0.88</v>
      </c>
      <c r="H19">
        <v>0.84</v>
      </c>
      <c r="I19">
        <v>0.82</v>
      </c>
      <c r="J19">
        <v>0.61</v>
      </c>
      <c r="K19">
        <v>0.57999999999999996</v>
      </c>
      <c r="L19">
        <v>0.52500000000000002</v>
      </c>
      <c r="M19">
        <v>0.44500000000000001</v>
      </c>
      <c r="N19">
        <v>0.43</v>
      </c>
      <c r="O19">
        <v>0.35</v>
      </c>
      <c r="P19">
        <v>0.3</v>
      </c>
      <c r="Q19">
        <v>0.245</v>
      </c>
      <c r="R19">
        <v>0.22500000000000001</v>
      </c>
      <c r="S19">
        <v>0.215</v>
      </c>
      <c r="T19">
        <v>0.20499999999999999</v>
      </c>
      <c r="U19">
        <v>0.15</v>
      </c>
      <c r="V19">
        <v>0.15</v>
      </c>
      <c r="W19">
        <v>0.15</v>
      </c>
      <c r="X19">
        <v>0.13500000000000001</v>
      </c>
      <c r="Y19">
        <v>0.12</v>
      </c>
      <c r="Z19">
        <v>0.12</v>
      </c>
      <c r="AA19">
        <v>0.06</v>
      </c>
      <c r="AB19">
        <v>-0.01</v>
      </c>
      <c r="AC19">
        <v>-0.01</v>
      </c>
      <c r="AD19">
        <v>-0.13</v>
      </c>
      <c r="AE19">
        <v>-0.3</v>
      </c>
      <c r="AF19">
        <v>-0.3</v>
      </c>
    </row>
    <row r="20" spans="2:32" x14ac:dyDescent="0.25">
      <c r="B20" s="11" t="s">
        <v>152</v>
      </c>
      <c r="C20">
        <v>54.103200000000001</v>
      </c>
      <c r="D20">
        <v>54.3489</v>
      </c>
      <c r="E20">
        <v>53.857500000000002</v>
      </c>
      <c r="F20">
        <v>53.518500000000003</v>
      </c>
      <c r="G20">
        <v>53.230800000000002</v>
      </c>
      <c r="H20">
        <v>52.530900000000003</v>
      </c>
      <c r="I20">
        <v>52.322600000000001</v>
      </c>
      <c r="J20">
        <v>51.522500000000001</v>
      </c>
      <c r="K20">
        <v>51.751800000000003</v>
      </c>
      <c r="L20">
        <v>51.354199999999999</v>
      </c>
      <c r="M20">
        <v>50.944099999999999</v>
      </c>
      <c r="N20">
        <v>51.072699999999998</v>
      </c>
      <c r="O20">
        <v>51.093499999999999</v>
      </c>
      <c r="P20">
        <v>50.847999999999999</v>
      </c>
      <c r="Q20">
        <v>50.7348</v>
      </c>
      <c r="R20">
        <v>50.588200000000001</v>
      </c>
      <c r="S20">
        <v>50.527999999999999</v>
      </c>
      <c r="T20">
        <v>50.652200000000001</v>
      </c>
      <c r="U20">
        <v>50.302</v>
      </c>
      <c r="V20">
        <v>50.319499999999998</v>
      </c>
      <c r="W20">
        <v>50.3645</v>
      </c>
      <c r="X20">
        <v>50.287500000000001</v>
      </c>
      <c r="Y20">
        <v>50.271999999999998</v>
      </c>
      <c r="Z20">
        <v>50.5473</v>
      </c>
      <c r="AA20">
        <v>50.064900000000002</v>
      </c>
      <c r="AB20">
        <v>49.757800000000003</v>
      </c>
      <c r="AC20">
        <v>49.8718</v>
      </c>
      <c r="AD20">
        <v>49.509799999999998</v>
      </c>
      <c r="AE20">
        <v>48.754300000000001</v>
      </c>
      <c r="AF20">
        <v>48.8</v>
      </c>
    </row>
    <row r="21" spans="2:32" x14ac:dyDescent="0.25">
      <c r="B21" s="11" t="s">
        <v>153</v>
      </c>
      <c r="C21">
        <v>4.2187000000000001</v>
      </c>
      <c r="D21">
        <v>5.0762999999999998</v>
      </c>
      <c r="E21">
        <v>3.6432000000000002</v>
      </c>
      <c r="F21">
        <v>1.8348</v>
      </c>
      <c r="G21">
        <v>2.5015999999999998</v>
      </c>
      <c r="H21">
        <v>3.6032999999999999</v>
      </c>
      <c r="I21">
        <v>2.5937000000000001</v>
      </c>
      <c r="J21">
        <v>3.1644999999999999</v>
      </c>
      <c r="K21">
        <v>2.5945999999999998</v>
      </c>
      <c r="L21">
        <v>2.4672999999999998</v>
      </c>
      <c r="M21">
        <v>2.3513000000000002</v>
      </c>
      <c r="N21">
        <v>3.0017</v>
      </c>
      <c r="O21">
        <v>2.694</v>
      </c>
      <c r="P21">
        <v>2.5304000000000002</v>
      </c>
      <c r="Q21">
        <v>2.4138999999999999</v>
      </c>
      <c r="R21">
        <v>3.2187999999999999</v>
      </c>
      <c r="S21">
        <v>2.6294</v>
      </c>
      <c r="T21">
        <v>2.7700999999999998</v>
      </c>
      <c r="U21">
        <v>2.8746999999999998</v>
      </c>
      <c r="V21">
        <v>2.4285000000000001</v>
      </c>
      <c r="W21">
        <v>2.5236999999999998</v>
      </c>
      <c r="X21">
        <v>2.4508000000000001</v>
      </c>
      <c r="Y21">
        <v>2.4493999999999998</v>
      </c>
      <c r="Z21">
        <v>2.3187000000000002</v>
      </c>
      <c r="AA21">
        <v>2.5417000000000001</v>
      </c>
      <c r="AB21">
        <v>3.6438999999999999</v>
      </c>
      <c r="AC21">
        <v>2.9958999999999998</v>
      </c>
      <c r="AD21">
        <v>2.4546999999999999</v>
      </c>
      <c r="AE21">
        <v>3.2332999999999998</v>
      </c>
      <c r="AF21">
        <v>2.7280000000000002</v>
      </c>
    </row>
    <row r="22" spans="2:32" x14ac:dyDescent="0.25">
      <c r="B22" s="11" t="s">
        <v>154</v>
      </c>
      <c r="C22">
        <v>1.3233999999999999</v>
      </c>
      <c r="D22">
        <v>1.2966</v>
      </c>
      <c r="E22">
        <v>1.2564</v>
      </c>
      <c r="F22">
        <v>1.3547</v>
      </c>
      <c r="G22">
        <v>1.2654000000000001</v>
      </c>
      <c r="H22">
        <v>1.3204</v>
      </c>
      <c r="I22">
        <v>1.1863999999999999</v>
      </c>
      <c r="J22">
        <v>1.2927999999999999</v>
      </c>
      <c r="K22">
        <v>1.3409</v>
      </c>
      <c r="L22">
        <v>1.2158</v>
      </c>
      <c r="M22">
        <v>1.2312000000000001</v>
      </c>
      <c r="N22">
        <v>1.3267</v>
      </c>
      <c r="O22">
        <v>1.2854000000000001</v>
      </c>
      <c r="P22">
        <v>1.3184</v>
      </c>
      <c r="Q22">
        <v>1.3008</v>
      </c>
      <c r="R22">
        <v>1.2776000000000001</v>
      </c>
      <c r="S22">
        <v>1.2964</v>
      </c>
      <c r="T22">
        <v>1.2926</v>
      </c>
      <c r="U22">
        <v>1.3181</v>
      </c>
      <c r="V22">
        <v>1.3118000000000001</v>
      </c>
      <c r="W22">
        <v>1.2955000000000001</v>
      </c>
      <c r="X22">
        <v>1.3099000000000001</v>
      </c>
      <c r="Y22">
        <v>1.3111999999999999</v>
      </c>
      <c r="Z22">
        <v>1.3274999999999999</v>
      </c>
      <c r="AA22">
        <v>1.2915000000000001</v>
      </c>
      <c r="AB22">
        <v>1.3389</v>
      </c>
      <c r="AC22">
        <v>1.3561000000000001</v>
      </c>
      <c r="AD22">
        <v>1.38</v>
      </c>
      <c r="AE22">
        <v>1.4219999999999999</v>
      </c>
      <c r="AF22">
        <v>1.3520000000000001</v>
      </c>
    </row>
    <row r="23" spans="2:32" x14ac:dyDescent="0.25">
      <c r="B23" s="11" t="s">
        <v>155</v>
      </c>
      <c r="C23">
        <v>127.7307</v>
      </c>
      <c r="D23">
        <v>84.49</v>
      </c>
      <c r="E23">
        <v>116.64149999999999</v>
      </c>
      <c r="F23">
        <v>71.071799999999996</v>
      </c>
      <c r="G23">
        <v>112.3912</v>
      </c>
      <c r="H23">
        <v>99.722200000000001</v>
      </c>
      <c r="I23">
        <v>97.210499999999996</v>
      </c>
      <c r="J23">
        <v>139.8306</v>
      </c>
      <c r="K23">
        <v>125.072</v>
      </c>
      <c r="L23">
        <v>128.79310000000001</v>
      </c>
      <c r="M23">
        <v>143.0538</v>
      </c>
      <c r="N23">
        <v>135.12739999999999</v>
      </c>
      <c r="O23">
        <v>139.07429999999999</v>
      </c>
      <c r="P23">
        <v>132.24369999999999</v>
      </c>
      <c r="Q23">
        <v>128.91980000000001</v>
      </c>
      <c r="R23">
        <v>141.40090000000001</v>
      </c>
      <c r="S23">
        <v>139.9984</v>
      </c>
      <c r="T23">
        <v>144.52770000000001</v>
      </c>
      <c r="U23">
        <v>132.84219999999999</v>
      </c>
      <c r="V23">
        <v>129.3792</v>
      </c>
      <c r="W23">
        <v>133.70099999999999</v>
      </c>
      <c r="X23">
        <v>130.07470000000001</v>
      </c>
      <c r="Y23">
        <v>129.71260000000001</v>
      </c>
      <c r="Z23">
        <v>129.90700000000001</v>
      </c>
      <c r="AA23">
        <v>129.1292</v>
      </c>
      <c r="AB23">
        <v>153.68629999999999</v>
      </c>
      <c r="AC23">
        <v>153.72409999999999</v>
      </c>
      <c r="AD23">
        <v>172.08349999999999</v>
      </c>
      <c r="AE23">
        <v>141.82130000000001</v>
      </c>
      <c r="AF23">
        <v>138.4196</v>
      </c>
    </row>
    <row r="24" spans="2:32" x14ac:dyDescent="0.25">
      <c r="B24" s="11" t="s">
        <v>156</v>
      </c>
      <c r="C24">
        <v>58.567500000000003</v>
      </c>
      <c r="D24">
        <v>39.158999999999999</v>
      </c>
      <c r="E24">
        <v>53.493400000000001</v>
      </c>
      <c r="F24">
        <v>55.470500000000001</v>
      </c>
      <c r="G24">
        <v>51.892400000000002</v>
      </c>
      <c r="H24">
        <v>78.045000000000002</v>
      </c>
      <c r="I24">
        <v>76.204300000000003</v>
      </c>
      <c r="J24">
        <v>60.917099999999998</v>
      </c>
      <c r="K24">
        <v>54.659199999999998</v>
      </c>
      <c r="L24">
        <v>56.133699999999997</v>
      </c>
      <c r="M24">
        <v>61.340499999999999</v>
      </c>
      <c r="N24">
        <v>58.869799999999998</v>
      </c>
      <c r="O24">
        <v>55.249200000000002</v>
      </c>
      <c r="P24">
        <v>53.451999999999998</v>
      </c>
      <c r="Q24">
        <v>51.990699999999997</v>
      </c>
      <c r="R24">
        <v>61.552700000000002</v>
      </c>
      <c r="S24">
        <v>54.966700000000003</v>
      </c>
      <c r="T24">
        <v>56.683399999999999</v>
      </c>
      <c r="U24">
        <v>56.038800000000002</v>
      </c>
      <c r="V24">
        <v>52.285400000000003</v>
      </c>
      <c r="W24">
        <v>53.283200000000001</v>
      </c>
      <c r="X24">
        <v>52.557299999999998</v>
      </c>
      <c r="Y24">
        <v>52.4251</v>
      </c>
      <c r="Z24">
        <v>51.887</v>
      </c>
      <c r="AA24">
        <v>52.731900000000003</v>
      </c>
      <c r="AB24">
        <v>66.8446</v>
      </c>
      <c r="AC24">
        <v>60.239199999999997</v>
      </c>
      <c r="AD24">
        <v>69.529700000000005</v>
      </c>
      <c r="AE24">
        <v>61.725000000000001</v>
      </c>
      <c r="AF24">
        <v>55.807000000000002</v>
      </c>
    </row>
    <row r="25" spans="2:32" x14ac:dyDescent="0.25">
      <c r="B25" s="11" t="s">
        <v>157</v>
      </c>
      <c r="C25">
        <v>26</v>
      </c>
      <c r="D25">
        <v>26</v>
      </c>
      <c r="E25">
        <v>26</v>
      </c>
      <c r="F25" s="13">
        <v>16</v>
      </c>
      <c r="G25">
        <v>26</v>
      </c>
      <c r="H25" s="13">
        <v>16</v>
      </c>
      <c r="I25">
        <v>16</v>
      </c>
      <c r="J25">
        <v>29</v>
      </c>
      <c r="K25">
        <v>28</v>
      </c>
      <c r="L25">
        <v>29</v>
      </c>
      <c r="M25">
        <v>29</v>
      </c>
      <c r="N25">
        <v>29</v>
      </c>
      <c r="O25">
        <v>32</v>
      </c>
      <c r="P25">
        <v>31</v>
      </c>
      <c r="Q25">
        <v>31</v>
      </c>
      <c r="R25">
        <v>29</v>
      </c>
      <c r="S25">
        <v>32</v>
      </c>
      <c r="T25">
        <v>32</v>
      </c>
      <c r="U25">
        <v>30</v>
      </c>
      <c r="V25">
        <v>31</v>
      </c>
      <c r="W25">
        <v>32</v>
      </c>
      <c r="X25">
        <v>31</v>
      </c>
      <c r="Y25">
        <v>31</v>
      </c>
      <c r="Z25">
        <v>31</v>
      </c>
      <c r="AA25">
        <v>31</v>
      </c>
      <c r="AB25">
        <v>29</v>
      </c>
      <c r="AC25">
        <v>32</v>
      </c>
      <c r="AD25">
        <v>31</v>
      </c>
      <c r="AE25">
        <v>29</v>
      </c>
      <c r="AF25">
        <v>31</v>
      </c>
    </row>
    <row r="26" spans="2:32" x14ac:dyDescent="0.25">
      <c r="B26" s="11" t="s">
        <v>158</v>
      </c>
      <c r="C26">
        <v>214.23070000000001</v>
      </c>
      <c r="D26">
        <v>311.94130000000001</v>
      </c>
      <c r="E26">
        <v>203.05170000000001</v>
      </c>
      <c r="F26">
        <v>310.9169</v>
      </c>
      <c r="G26">
        <v>188.0026</v>
      </c>
      <c r="H26">
        <v>256.08440000000002</v>
      </c>
      <c r="I26">
        <v>226.32</v>
      </c>
      <c r="J26">
        <v>205.10810000000001</v>
      </c>
      <c r="K26">
        <v>89.9255</v>
      </c>
      <c r="L26">
        <v>178.22309999999999</v>
      </c>
      <c r="M26">
        <v>124.1609</v>
      </c>
      <c r="N26">
        <v>219.92859999999999</v>
      </c>
      <c r="O26">
        <v>289.52019999999999</v>
      </c>
      <c r="P26">
        <v>206.08529999999999</v>
      </c>
      <c r="Q26">
        <v>246.32570000000001</v>
      </c>
      <c r="R26">
        <v>206.95310000000001</v>
      </c>
      <c r="S26">
        <v>216.11259999999999</v>
      </c>
      <c r="T26">
        <v>199.8561</v>
      </c>
      <c r="U26">
        <v>211.98920000000001</v>
      </c>
      <c r="V26">
        <v>194.9391</v>
      </c>
      <c r="W26">
        <v>210.48920000000001</v>
      </c>
      <c r="X26">
        <v>202.6412</v>
      </c>
      <c r="Y26">
        <v>196.80590000000001</v>
      </c>
      <c r="Z26">
        <v>201.5943</v>
      </c>
      <c r="AA26">
        <v>220.93129999999999</v>
      </c>
      <c r="AB26">
        <v>159.5112</v>
      </c>
      <c r="AC26">
        <v>271.56029999999998</v>
      </c>
      <c r="AD26">
        <v>273.7894</v>
      </c>
      <c r="AE26">
        <v>173.44820000000001</v>
      </c>
      <c r="AF26">
        <v>243.87819999999999</v>
      </c>
    </row>
    <row r="27" spans="2:32" x14ac:dyDescent="0.25">
      <c r="B27" s="11" t="s">
        <v>159</v>
      </c>
      <c r="C27">
        <v>15</v>
      </c>
      <c r="D27">
        <v>17</v>
      </c>
      <c r="E27">
        <v>15</v>
      </c>
      <c r="F27">
        <v>10</v>
      </c>
      <c r="G27">
        <v>15</v>
      </c>
      <c r="H27">
        <v>8</v>
      </c>
      <c r="I27">
        <v>10</v>
      </c>
      <c r="J27">
        <v>15</v>
      </c>
      <c r="K27">
        <v>14</v>
      </c>
      <c r="L27">
        <v>18</v>
      </c>
      <c r="M27">
        <v>16</v>
      </c>
      <c r="N27">
        <v>16</v>
      </c>
      <c r="O27">
        <v>21</v>
      </c>
      <c r="P27">
        <v>18</v>
      </c>
      <c r="Q27">
        <v>22</v>
      </c>
      <c r="R27">
        <v>18</v>
      </c>
      <c r="S27">
        <v>18</v>
      </c>
      <c r="T27">
        <v>21</v>
      </c>
      <c r="U27">
        <v>16</v>
      </c>
      <c r="V27">
        <v>18</v>
      </c>
      <c r="W27">
        <v>18</v>
      </c>
      <c r="X27">
        <v>18</v>
      </c>
      <c r="Y27">
        <v>17</v>
      </c>
      <c r="Z27">
        <v>21</v>
      </c>
      <c r="AA27">
        <v>18</v>
      </c>
      <c r="AB27">
        <v>18</v>
      </c>
      <c r="AC27">
        <v>19</v>
      </c>
      <c r="AD27">
        <v>17</v>
      </c>
      <c r="AE27">
        <v>18</v>
      </c>
      <c r="AF27">
        <v>19</v>
      </c>
    </row>
    <row r="28" spans="2:32" x14ac:dyDescent="0.25">
      <c r="B28" s="12" t="s">
        <v>160</v>
      </c>
      <c r="C28" s="9">
        <v>-22.713999999999999</v>
      </c>
      <c r="D28" s="9">
        <v>-18.716000000000001</v>
      </c>
      <c r="E28" s="9">
        <v>-23.666</v>
      </c>
      <c r="F28" s="9">
        <v>-24.68</v>
      </c>
      <c r="G28" s="9">
        <v>-19.462</v>
      </c>
      <c r="H28" s="9">
        <v>-26.834</v>
      </c>
      <c r="I28" s="9">
        <v>-24.925999999999998</v>
      </c>
      <c r="J28" s="9">
        <v>-26.834</v>
      </c>
      <c r="K28" s="9">
        <v>-16.687999999999999</v>
      </c>
      <c r="L28" s="9">
        <v>-24.925999999999998</v>
      </c>
      <c r="M28" s="9">
        <v>-24.925999999999998</v>
      </c>
      <c r="N28" s="9">
        <v>-26.834</v>
      </c>
      <c r="O28" s="9">
        <v>-34.46</v>
      </c>
      <c r="P28" s="9">
        <v>-26.834</v>
      </c>
      <c r="Q28" s="9">
        <v>-34.46</v>
      </c>
      <c r="R28" s="9">
        <v>-35.316000000000003</v>
      </c>
      <c r="S28" s="9">
        <v>-26.834</v>
      </c>
      <c r="T28" s="9">
        <v>-24.68</v>
      </c>
      <c r="U28" s="9">
        <v>-26.834</v>
      </c>
      <c r="V28" s="9">
        <v>-26.834</v>
      </c>
      <c r="W28" s="9">
        <v>-37.054000000000002</v>
      </c>
      <c r="X28" s="9">
        <v>-26.834</v>
      </c>
      <c r="Y28" s="9">
        <v>-26.834</v>
      </c>
      <c r="Z28" s="9">
        <v>-22.82</v>
      </c>
      <c r="AA28" s="9">
        <v>-26.834</v>
      </c>
      <c r="AB28" s="9">
        <v>-35.39</v>
      </c>
      <c r="AC28" s="9">
        <v>-25.547999999999998</v>
      </c>
      <c r="AD28" s="9">
        <v>-25.547999999999998</v>
      </c>
      <c r="AE28" s="9">
        <v>-35.39</v>
      </c>
      <c r="AF28" s="9">
        <v>-26.968</v>
      </c>
    </row>
    <row r="29" spans="2:32" x14ac:dyDescent="0.25">
      <c r="B29" s="11" t="s">
        <v>161</v>
      </c>
      <c r="C29">
        <v>14.4899</v>
      </c>
      <c r="D29">
        <v>12.745699999999999</v>
      </c>
      <c r="E29" s="9">
        <v>10.041</v>
      </c>
      <c r="F29" s="9">
        <v>15.799799999999999</v>
      </c>
      <c r="G29">
        <v>5.4714</v>
      </c>
      <c r="H29">
        <v>14.124700000000001</v>
      </c>
      <c r="I29">
        <v>9.7202000000000002</v>
      </c>
      <c r="J29">
        <v>14.8202</v>
      </c>
      <c r="K29">
        <v>7.9725999999999999</v>
      </c>
      <c r="L29">
        <v>9.7202000000000002</v>
      </c>
      <c r="M29">
        <v>9.7202000000000002</v>
      </c>
      <c r="N29">
        <v>14.124700000000001</v>
      </c>
      <c r="O29">
        <v>11.3299</v>
      </c>
      <c r="P29">
        <v>14.124700000000001</v>
      </c>
      <c r="Q29" s="9">
        <v>12.780799999999999</v>
      </c>
      <c r="R29">
        <v>13.6907</v>
      </c>
      <c r="S29">
        <v>15.106400000000001</v>
      </c>
      <c r="T29">
        <v>12.3886</v>
      </c>
      <c r="U29">
        <v>14.213699999999999</v>
      </c>
      <c r="V29">
        <v>15.157400000000001</v>
      </c>
      <c r="W29">
        <v>15.1151</v>
      </c>
      <c r="X29">
        <v>15.084099999999999</v>
      </c>
      <c r="Y29">
        <v>14.7936</v>
      </c>
      <c r="Z29">
        <v>6.4739000000000004</v>
      </c>
      <c r="AA29">
        <v>14.1198</v>
      </c>
      <c r="AB29" s="9">
        <v>16.252199999999998</v>
      </c>
      <c r="AC29">
        <v>7.0160999999999998</v>
      </c>
      <c r="AD29">
        <v>7.4328000000000003</v>
      </c>
      <c r="AE29">
        <v>9.6432000000000002</v>
      </c>
      <c r="AF29">
        <v>7.7565999999999997</v>
      </c>
    </row>
    <row r="30" spans="2:32" x14ac:dyDescent="0.25">
      <c r="B30" s="11" t="s">
        <v>162</v>
      </c>
      <c r="C30">
        <v>11.5059</v>
      </c>
      <c r="D30">
        <v>9.7616999999999994</v>
      </c>
      <c r="E30" s="9">
        <v>7.0571000000000002</v>
      </c>
      <c r="F30" s="9">
        <v>12.8954</v>
      </c>
      <c r="G30">
        <v>2.4874999999999998</v>
      </c>
      <c r="H30">
        <v>11.2204</v>
      </c>
      <c r="I30">
        <v>6.8158000000000003</v>
      </c>
      <c r="J30">
        <v>11.915900000000001</v>
      </c>
      <c r="K30">
        <v>5.0682</v>
      </c>
      <c r="L30">
        <v>6.8158000000000003</v>
      </c>
      <c r="M30">
        <v>6.8158000000000003</v>
      </c>
      <c r="N30">
        <v>11.2204</v>
      </c>
      <c r="O30">
        <v>8.4254999999999995</v>
      </c>
      <c r="P30">
        <v>11.2204</v>
      </c>
      <c r="Q30" s="9">
        <v>9.8764000000000003</v>
      </c>
      <c r="R30">
        <v>10.7864</v>
      </c>
      <c r="S30">
        <v>12.202</v>
      </c>
      <c r="T30">
        <v>9.4842999999999993</v>
      </c>
      <c r="U30">
        <v>11.3093</v>
      </c>
      <c r="V30">
        <v>12.253</v>
      </c>
      <c r="W30">
        <v>12.210699999999999</v>
      </c>
      <c r="X30">
        <v>12.1798</v>
      </c>
      <c r="Y30">
        <v>11.8893</v>
      </c>
      <c r="Z30">
        <v>3.5695000000000001</v>
      </c>
      <c r="AA30">
        <v>11.2155</v>
      </c>
      <c r="AB30" s="9">
        <v>13.347899999999999</v>
      </c>
      <c r="AC30">
        <v>4.1117999999999997</v>
      </c>
      <c r="AD30">
        <v>4.5285000000000002</v>
      </c>
      <c r="AE30">
        <v>6.7388000000000003</v>
      </c>
      <c r="AF30">
        <v>4.8522999999999996</v>
      </c>
    </row>
    <row r="31" spans="2:32" x14ac:dyDescent="0.25">
      <c r="B31" s="11" t="s">
        <v>163</v>
      </c>
      <c r="C31">
        <v>21</v>
      </c>
      <c r="D31">
        <v>21</v>
      </c>
      <c r="E31">
        <v>21</v>
      </c>
      <c r="F31">
        <v>21</v>
      </c>
      <c r="G31">
        <v>21</v>
      </c>
      <c r="H31">
        <v>21</v>
      </c>
      <c r="I31">
        <v>21</v>
      </c>
      <c r="J31">
        <v>21</v>
      </c>
      <c r="K31">
        <v>21</v>
      </c>
      <c r="L31">
        <v>21</v>
      </c>
      <c r="M31">
        <v>21</v>
      </c>
      <c r="N31">
        <v>21</v>
      </c>
      <c r="O31">
        <v>21</v>
      </c>
      <c r="P31">
        <v>21</v>
      </c>
      <c r="Q31">
        <v>21</v>
      </c>
      <c r="R31">
        <v>21</v>
      </c>
      <c r="S31">
        <v>21</v>
      </c>
      <c r="T31">
        <v>21</v>
      </c>
      <c r="U31">
        <v>21</v>
      </c>
      <c r="V31">
        <v>21</v>
      </c>
      <c r="W31">
        <v>21</v>
      </c>
      <c r="X31">
        <v>21</v>
      </c>
      <c r="Y31">
        <v>21</v>
      </c>
      <c r="Z31">
        <v>21</v>
      </c>
      <c r="AA31">
        <v>21</v>
      </c>
      <c r="AB31">
        <v>21</v>
      </c>
      <c r="AC31">
        <v>21</v>
      </c>
      <c r="AD31">
        <v>21</v>
      </c>
      <c r="AE31">
        <v>21</v>
      </c>
      <c r="AF31">
        <v>21</v>
      </c>
    </row>
    <row r="32" spans="2:32" x14ac:dyDescent="0.25">
      <c r="B32" s="11" t="s">
        <v>21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2:2" x14ac:dyDescent="0.25">
      <c r="B33" s="11" t="s">
        <v>164</v>
      </c>
    </row>
    <row r="34" spans="2:2" x14ac:dyDescent="0.25">
      <c r="B34" s="11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Runs</vt:lpstr>
      <vt:lpstr>Settings</vt:lpstr>
      <vt:lpstr>Legend</vt:lpstr>
      <vt:lpstr>Run1</vt:lpstr>
      <vt:lpstr>Run1_data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2026-08-05T14:54:45Z</dcterms:created>
  <dcterms:modified xsi:type="dcterms:W3CDTF">2026-08-10T18:20:40Z</dcterms:modified>
</cp:coreProperties>
</file>