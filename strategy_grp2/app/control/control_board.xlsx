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43757540-4C32-494E-87FD-39D8DC3092DF}" xr6:coauthVersionLast="47" xr6:coauthVersionMax="47" xr10:uidLastSave="{00000000-0000-0000-0000-000000000000}"/>
  <bookViews>
    <workbookView xWindow="255" yWindow="810" windowWidth="34320" windowHeight="1435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3" i="1" l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C77" i="1" s="1"/>
  <c r="E75" i="1"/>
  <c r="C78" i="1" l="1"/>
  <c r="E77" i="1"/>
  <c r="E76" i="1"/>
  <c r="E78" i="1" l="1"/>
  <c r="C79" i="1"/>
  <c r="C80" i="1" l="1"/>
  <c r="E79" i="1"/>
  <c r="C81" i="1" l="1"/>
  <c r="E80" i="1"/>
  <c r="C82" i="1" l="1"/>
  <c r="E81" i="1"/>
  <c r="C83" i="1" l="1"/>
  <c r="E82" i="1"/>
  <c r="C84" i="1" l="1"/>
  <c r="E83" i="1"/>
  <c r="C85" i="1" l="1"/>
  <c r="E84" i="1"/>
  <c r="C86" i="1" l="1"/>
  <c r="E86" i="1" s="1"/>
  <c r="E85" i="1"/>
</calcChain>
</file>

<file path=xl/sharedStrings.xml><?xml version="1.0" encoding="utf-8"?>
<sst xmlns="http://schemas.openxmlformats.org/spreadsheetml/2006/main" count="863" uniqueCount="172">
  <si>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</si>
  <si>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</si>
  <si>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</si>
  <si>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</si>
  <si>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</si>
  <si>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</si>
  <si>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</si>
  <si>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</si>
  <si>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</si>
  <si>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</si>
  <si>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</si>
  <si>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</si>
  <si>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</si>
  <si>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</si>
  <si>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</si>
  <si>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</si>
  <si>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</si>
  <si>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</si>
  <si>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</si>
  <si>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</si>
  <si>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</si>
  <si>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</si>
  <si>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</si>
  <si>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</si>
  <si>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</si>
  <si>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</si>
  <si>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</si>
  <si>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</si>
  <si>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</si>
  <si>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</si>
  <si>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</si>
  <si>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</si>
  <si>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</si>
  <si>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</si>
  <si>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</si>
  <si>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</si>
  <si>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</si>
  <si>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</si>
  <si>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</si>
  <si>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</si>
  <si>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</si>
  <si>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</si>
  <si>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</si>
  <si>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</si>
  <si>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</si>
  <si>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</si>
  <si>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</si>
  <si>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</si>
  <si>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</si>
  <si>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</si>
  <si>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</si>
  <si>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</si>
  <si>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</si>
  <si>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</si>
  <si>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</si>
  <si>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</si>
  <si>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</si>
  <si>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</si>
  <si>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</si>
  <si>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</si>
  <si>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</si>
  <si>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</si>
  <si>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</si>
  <si>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</si>
  <si>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</si>
  <si>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</si>
  <si>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</si>
  <si>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</si>
  <si>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</si>
  <si>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</si>
  <si>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</si>
  <si>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</si>
  <si>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</si>
  <si>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</si>
  <si>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</si>
  <si>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</si>
  <si>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</si>
  <si>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</si>
  <si>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</si>
  <si>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</si>
  <si>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</si>
  <si>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</si>
  <si>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</si>
  <si>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</si>
  <si>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</si>
  <si>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</si>
  <si>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</si>
  <si>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</si>
  <si>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</si>
  <si>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</si>
  <si>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</si>
  <si>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</si>
  <si>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</si>
  <si>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</si>
  <si>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</si>
  <si>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</si>
  <si>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</si>
  <si>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</si>
  <si>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</si>
  <si>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</si>
  <si>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</si>
  <si>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</si>
  <si>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</si>
  <si>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</si>
  <si>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</si>
  <si>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</si>
  <si>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</si>
  <si>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</si>
  <si>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</si>
  <si>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</si>
  <si>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</si>
  <si>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</si>
  <si>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</si>
  <si>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</si>
  <si>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</si>
  <si>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</si>
  <si>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</si>
  <si>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</si>
  <si>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</si>
  <si>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</si>
  <si>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</si>
  <si>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</si>
  <si>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</si>
  <si>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</si>
  <si>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</si>
  <si>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</si>
  <si>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</si>
  <si>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</si>
  <si>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</si>
  <si>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</si>
  <si>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</si>
  <si>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</si>
  <si>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</si>
  <si>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</si>
  <si>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</si>
  <si>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</si>
  <si>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</si>
  <si>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</si>
  <si>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</si>
  <si>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</si>
  <si>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</si>
  <si>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</si>
  <si>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</si>
  <si>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</si>
  <si>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</si>
  <si>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</si>
  <si>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</si>
  <si>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</si>
  <si>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</si>
  <si>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</si>
  <si>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</si>
  <si>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</si>
  <si>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</si>
  <si>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</si>
  <si>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</si>
  <si>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</si>
  <si>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Stamdata.Sector2</t>
  </si>
  <si>
    <t>Rimelig</t>
  </si>
  <si>
    <t>Mindre god</t>
  </si>
  <si>
    <t>Mindre god, men mild i extention</t>
  </si>
  <si>
    <t>God (basis)</t>
  </si>
  <si>
    <t>rank, per1d,per5d,per10d</t>
  </si>
  <si>
    <t>Rimelig (kun GICS=Tech blev valgt)</t>
  </si>
  <si>
    <t>Longi.beta3m&gt;2</t>
  </si>
  <si>
    <t>Kun 3 pr grp for bredere udvalg</t>
  </si>
  <si>
    <t>Bytte priority-metode</t>
  </si>
  <si>
    <t>giver kun tab.  Beta er bedst til prioritering</t>
  </si>
  <si>
    <t>Mindre god, men bedst Sector2</t>
  </si>
  <si>
    <t>Old basis</t>
  </si>
  <si>
    <t>Ny basis, men 3 udvalg er bedre</t>
  </si>
  <si>
    <t>Bedst (men 4 i udvalg giver for mange)</t>
  </si>
  <si>
    <t>Ny (3 i udvalg)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</si>
</sst>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6"/>
  <sheetViews>
    <sheetView tabSelected="1" workbookViewId="0">
      <pane xSplit="5" ySplit="1" topLeftCell="F56" activePane="bottomRight" state="frozen"/>
      <selection pane="topRight" activeCell="F1" sqref="F1"/>
      <selection pane="bottomLeft" activeCell="A2" sqref="A2"/>
      <selection pane="bottomRight" activeCell="B73" sqref="B73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150</v>
      </c>
      <c r="D1" s="1" t="s">
        <v>151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A2" t="s">
        <v>23</v>
      </c>
      <c r="C2">
        <v>1</v>
      </c>
      <c r="D2" t="s">
        <v>168</v>
      </c>
      <c r="E2" t="str">
        <f>TEXT(C2,"00") &amp; " GICS-"&amp;K2&amp;" ("&amp;Q2&amp;IF(P2&lt;&gt;"","+ ","")&amp;P2&amp;")"</f>
        <v>01 GICS-beta3m (beta3m+ Longi.beta3m&gt;2.5)</v>
      </c>
      <c r="F2" t="s">
        <v>160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161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157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147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3"/>
        <v>6</v>
      </c>
      <c r="D7" t="s">
        <v>169</v>
      </c>
      <c r="E7" t="str">
        <f t="shared" si="2"/>
        <v>06 GICS-sh3m (beta3m)</v>
      </c>
      <c r="F7" t="s">
        <v>170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161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144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145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145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145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146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146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146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149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147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149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147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149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147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149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147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149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147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149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148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147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149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148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147</v>
      </c>
    </row>
    <row r="70" spans="1:24" x14ac:dyDescent="0.25">
      <c r="C70">
        <f>C69+1</f>
        <v>69</v>
      </c>
      <c r="D70" t="s">
        <v>152</v>
      </c>
      <c r="E70" t="str">
        <f t="shared" si="5"/>
        <v>69 GICS-beta2m (beta3m+ Longi.beta3m&gt;2.5)</v>
      </c>
      <c r="F70" t="s">
        <v>155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152</v>
      </c>
      <c r="E71" t="str">
        <f t="shared" si="5"/>
        <v>70 GICS-beta1m (beta3m+ Longi.beta3m&gt;2.5)</v>
      </c>
      <c r="F71" t="s">
        <v>155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152</v>
      </c>
      <c r="E72" t="str">
        <f t="shared" ref="E72:E73" si="6">TEXT(C72,"00") &amp; " GICS-"&amp;K72&amp;" ("&amp;Q72&amp;IF(P72&lt;&gt;"","+ ","")&amp;P72&amp;")"</f>
        <v>71 GICS-beta2m (beta3m)</v>
      </c>
      <c r="F72" t="s">
        <v>155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152</v>
      </c>
      <c r="E73" t="str">
        <f t="shared" si="6"/>
        <v>72 GICS-beta1m (beta3m)</v>
      </c>
      <c r="F73" t="s">
        <v>155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152</v>
      </c>
      <c r="E74" t="str">
        <f t="shared" ref="E74" si="7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86" si="8">C74+1</f>
        <v>74</v>
      </c>
      <c r="D75" t="s">
        <v>152</v>
      </c>
      <c r="E75" t="str">
        <f t="shared" ref="E75:E80" si="9">TEXT(C75,"00") &amp; " GICS-"&amp;K75&amp;" ("&amp;Q75&amp;IF(P75&lt;&gt;"","+ ","")&amp;P75&amp;")"</f>
        <v>74 GICS-beta2m (beta3m)</v>
      </c>
      <c r="F75" t="s">
        <v>154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152</v>
      </c>
      <c r="E76" s="9" t="str">
        <f t="shared" si="9"/>
        <v>75 GICS-beta2m (beta3m)</v>
      </c>
      <c r="F76" s="9" t="s">
        <v>154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153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C77">
        <f t="shared" si="8"/>
        <v>76</v>
      </c>
      <c r="E77" t="str">
        <f t="shared" si="9"/>
        <v>76 GICS-beta3m (beta3m)</v>
      </c>
      <c r="F77" t="s">
        <v>164</v>
      </c>
      <c r="G77" t="s">
        <v>25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161</v>
      </c>
    </row>
    <row r="78" spans="1:24" s="9" customFormat="1" x14ac:dyDescent="0.25">
      <c r="A78" s="9" t="s">
        <v>23</v>
      </c>
      <c r="B78" s="9" t="s">
        <v>23</v>
      </c>
      <c r="C78" s="9">
        <f t="shared" si="8"/>
        <v>77</v>
      </c>
      <c r="D78" s="9" t="s">
        <v>171</v>
      </c>
      <c r="E78" s="9" t="str">
        <f t="shared" si="9"/>
        <v>77 GICS-sh3m (beta3m)</v>
      </c>
      <c r="F78" s="9" t="s">
        <v>164</v>
      </c>
      <c r="G78" s="9" t="s">
        <v>25</v>
      </c>
      <c r="H78" s="9" t="s">
        <v>26</v>
      </c>
      <c r="K78" s="9" t="s">
        <v>34</v>
      </c>
      <c r="L78" s="9" t="s">
        <v>28</v>
      </c>
      <c r="M78" s="9">
        <v>0.1</v>
      </c>
      <c r="N78" s="9">
        <v>10</v>
      </c>
      <c r="O78" s="9">
        <v>3</v>
      </c>
      <c r="Q78" s="9" t="s">
        <v>27</v>
      </c>
      <c r="R78" s="9" t="s">
        <v>28</v>
      </c>
      <c r="S78" s="9">
        <v>1</v>
      </c>
      <c r="T78" s="9">
        <v>3</v>
      </c>
      <c r="U78" s="9">
        <v>0</v>
      </c>
      <c r="V78" s="9">
        <v>20</v>
      </c>
      <c r="W78" s="9">
        <v>0</v>
      </c>
      <c r="X78" s="9" t="s">
        <v>161</v>
      </c>
    </row>
    <row r="79" spans="1:24" x14ac:dyDescent="0.25">
      <c r="C79">
        <f t="shared" si="8"/>
        <v>78</v>
      </c>
      <c r="D79" t="s">
        <v>165</v>
      </c>
      <c r="E79" t="str">
        <f t="shared" si="9"/>
        <v>78 GICS-beta3m (sh3m)</v>
      </c>
      <c r="F79" t="s">
        <v>166</v>
      </c>
      <c r="G79" t="s">
        <v>25</v>
      </c>
      <c r="H79" t="s">
        <v>26</v>
      </c>
      <c r="K79" t="s">
        <v>27</v>
      </c>
      <c r="L79" t="s">
        <v>28</v>
      </c>
      <c r="M79">
        <v>0.1</v>
      </c>
      <c r="N79">
        <v>10</v>
      </c>
      <c r="O79">
        <v>4</v>
      </c>
      <c r="Q79" t="s">
        <v>34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161</v>
      </c>
    </row>
    <row r="80" spans="1:24" s="9" customFormat="1" x14ac:dyDescent="0.25">
      <c r="C80" s="9">
        <f t="shared" si="8"/>
        <v>79</v>
      </c>
      <c r="D80" s="9" t="s">
        <v>165</v>
      </c>
      <c r="E80" s="9" t="str">
        <f t="shared" si="9"/>
        <v>79 GICS-sh3m (sh3m)</v>
      </c>
      <c r="F80" s="9" t="s">
        <v>166</v>
      </c>
      <c r="G80" s="9" t="s">
        <v>25</v>
      </c>
      <c r="H80" s="9" t="s">
        <v>26</v>
      </c>
      <c r="K80" s="9" t="s">
        <v>34</v>
      </c>
      <c r="L80" s="9" t="s">
        <v>28</v>
      </c>
      <c r="M80" s="9">
        <v>0.1</v>
      </c>
      <c r="N80" s="9">
        <v>10</v>
      </c>
      <c r="O80" s="9">
        <v>4</v>
      </c>
      <c r="Q80" s="9" t="s">
        <v>34</v>
      </c>
      <c r="R80" s="9" t="s">
        <v>28</v>
      </c>
      <c r="S80" s="9">
        <v>1</v>
      </c>
      <c r="T80" s="9">
        <v>3</v>
      </c>
      <c r="U80" s="9">
        <v>0</v>
      </c>
      <c r="V80" s="9">
        <v>20</v>
      </c>
      <c r="W80" s="9">
        <v>0</v>
      </c>
      <c r="X80" s="9" t="s">
        <v>161</v>
      </c>
    </row>
    <row r="81" spans="1:24" x14ac:dyDescent="0.25">
      <c r="C81">
        <f t="shared" si="8"/>
        <v>80</v>
      </c>
      <c r="E81" t="str">
        <f t="shared" ref="E81:E86" si="10">TEXT(C81,"00") &amp; " Sector2-"&amp;K81&amp;" ("&amp;Q81&amp;IF(P81&lt;&gt;"","+ ","")&amp;P81&amp;")"</f>
        <v>80 Sector2-beta3m (beta3m+ Longi.beta3m&gt;2)</v>
      </c>
      <c r="F81" t="s">
        <v>162</v>
      </c>
      <c r="G81" t="s">
        <v>156</v>
      </c>
      <c r="H81" t="s">
        <v>26</v>
      </c>
      <c r="K81" t="s">
        <v>27</v>
      </c>
      <c r="L81" t="s">
        <v>28</v>
      </c>
      <c r="M81">
        <v>0.1</v>
      </c>
      <c r="N81">
        <v>10</v>
      </c>
      <c r="O81">
        <v>4</v>
      </c>
      <c r="P81" t="s">
        <v>163</v>
      </c>
      <c r="Q81" t="s">
        <v>27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161</v>
      </c>
    </row>
    <row r="82" spans="1:24" x14ac:dyDescent="0.25">
      <c r="C82">
        <f t="shared" si="8"/>
        <v>81</v>
      </c>
      <c r="E82" t="str">
        <f t="shared" si="10"/>
        <v>81 Sector2-quot2050 (beta3m+ Longi.beta3m&gt;2)</v>
      </c>
      <c r="F82" t="s">
        <v>158</v>
      </c>
      <c r="G82" t="s">
        <v>156</v>
      </c>
      <c r="H82" t="s">
        <v>26</v>
      </c>
      <c r="K82" t="s">
        <v>45</v>
      </c>
      <c r="L82" t="s">
        <v>28</v>
      </c>
      <c r="M82">
        <v>0.1</v>
      </c>
      <c r="N82">
        <v>10</v>
      </c>
      <c r="O82">
        <v>4</v>
      </c>
      <c r="P82" t="s">
        <v>163</v>
      </c>
      <c r="Q82" t="s">
        <v>27</v>
      </c>
      <c r="R82" t="s">
        <v>28</v>
      </c>
      <c r="S82">
        <v>1</v>
      </c>
      <c r="T82">
        <v>3</v>
      </c>
      <c r="U82">
        <v>0</v>
      </c>
      <c r="V82">
        <v>20</v>
      </c>
      <c r="W82">
        <v>0</v>
      </c>
      <c r="X82" t="s">
        <v>135</v>
      </c>
    </row>
    <row r="83" spans="1:24" x14ac:dyDescent="0.25">
      <c r="C83">
        <f t="shared" si="8"/>
        <v>82</v>
      </c>
      <c r="E83" t="str">
        <f t="shared" si="10"/>
        <v>82 Sector2-beta3m (beta3m)</v>
      </c>
      <c r="F83" t="s">
        <v>157</v>
      </c>
      <c r="G83" t="s">
        <v>156</v>
      </c>
      <c r="H83" t="s">
        <v>26</v>
      </c>
      <c r="K83" t="s">
        <v>27</v>
      </c>
      <c r="L83" t="s">
        <v>28</v>
      </c>
      <c r="M83">
        <v>0.1</v>
      </c>
      <c r="N83">
        <v>10</v>
      </c>
      <c r="O83">
        <v>4</v>
      </c>
      <c r="Q83" t="s">
        <v>27</v>
      </c>
      <c r="R83" t="s">
        <v>28</v>
      </c>
      <c r="S83">
        <v>1</v>
      </c>
      <c r="T83">
        <v>3</v>
      </c>
      <c r="U83">
        <v>0</v>
      </c>
      <c r="V83">
        <v>20</v>
      </c>
      <c r="W83">
        <v>0</v>
      </c>
      <c r="X83" t="s">
        <v>135</v>
      </c>
    </row>
    <row r="84" spans="1:24" x14ac:dyDescent="0.25">
      <c r="C84">
        <f t="shared" si="8"/>
        <v>83</v>
      </c>
      <c r="E84" t="str">
        <f t="shared" si="10"/>
        <v>83 Sector2-quot2050 (beta3m)</v>
      </c>
      <c r="F84" t="s">
        <v>158</v>
      </c>
      <c r="G84" t="s">
        <v>156</v>
      </c>
      <c r="H84" t="s">
        <v>26</v>
      </c>
      <c r="K84" t="s">
        <v>45</v>
      </c>
      <c r="L84" t="s">
        <v>28</v>
      </c>
      <c r="M84">
        <v>0.1</v>
      </c>
      <c r="N84">
        <v>10</v>
      </c>
      <c r="O84">
        <v>4</v>
      </c>
      <c r="Q84" t="s">
        <v>27</v>
      </c>
      <c r="R84" t="s">
        <v>28</v>
      </c>
      <c r="S84">
        <v>1</v>
      </c>
      <c r="T84">
        <v>3</v>
      </c>
      <c r="U84">
        <v>0</v>
      </c>
      <c r="V84">
        <v>20</v>
      </c>
      <c r="W84">
        <v>0</v>
      </c>
      <c r="X84" t="s">
        <v>135</v>
      </c>
    </row>
    <row r="85" spans="1:24" x14ac:dyDescent="0.25">
      <c r="A85" t="s">
        <v>23</v>
      </c>
      <c r="C85">
        <f t="shared" si="8"/>
        <v>84</v>
      </c>
      <c r="E85" t="str">
        <f t="shared" si="10"/>
        <v>84 Sector2-sh3m (beta3m+ Longi.beta3m&gt;2)</v>
      </c>
      <c r="F85" t="s">
        <v>167</v>
      </c>
      <c r="G85" t="s">
        <v>156</v>
      </c>
      <c r="H85" t="s">
        <v>26</v>
      </c>
      <c r="K85" t="s">
        <v>34</v>
      </c>
      <c r="L85" t="s">
        <v>28</v>
      </c>
      <c r="M85">
        <v>0.1</v>
      </c>
      <c r="N85">
        <v>10</v>
      </c>
      <c r="O85">
        <v>4</v>
      </c>
      <c r="P85" t="s">
        <v>163</v>
      </c>
      <c r="Q85" t="s">
        <v>27</v>
      </c>
      <c r="R85" t="s">
        <v>28</v>
      </c>
      <c r="S85">
        <v>1</v>
      </c>
      <c r="T85">
        <v>3</v>
      </c>
      <c r="U85">
        <v>0</v>
      </c>
      <c r="V85">
        <v>20</v>
      </c>
      <c r="W85">
        <v>0</v>
      </c>
      <c r="X85" t="s">
        <v>135</v>
      </c>
    </row>
    <row r="86" spans="1:24" x14ac:dyDescent="0.25">
      <c r="C86">
        <f t="shared" si="8"/>
        <v>85</v>
      </c>
      <c r="E86" t="str">
        <f t="shared" si="10"/>
        <v>85 Sector2-sh3m (beta3m)</v>
      </c>
      <c r="F86" t="s">
        <v>159</v>
      </c>
      <c r="G86" t="s">
        <v>156</v>
      </c>
      <c r="H86" t="s">
        <v>26</v>
      </c>
      <c r="K86" t="s">
        <v>34</v>
      </c>
      <c r="L86" t="s">
        <v>28</v>
      </c>
      <c r="M86">
        <v>0.1</v>
      </c>
      <c r="N86">
        <v>10</v>
      </c>
      <c r="O86">
        <v>4</v>
      </c>
      <c r="Q86" t="s">
        <v>27</v>
      </c>
      <c r="R86" t="s">
        <v>28</v>
      </c>
      <c r="S86">
        <v>1</v>
      </c>
      <c r="T86">
        <v>3</v>
      </c>
      <c r="U86">
        <v>0</v>
      </c>
      <c r="V86">
        <v>20</v>
      </c>
      <c r="W86">
        <v>0</v>
      </c>
      <c r="X86" t="s">
        <v>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2026-09-10T15:52:46Z</dcterms:modified>
</cp:coreProperties>
</file>