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8DAC5DF6-E4CA-4DDF-ACE1-E612649214EF}" xr6:coauthVersionLast="47" xr6:coauthVersionMax="47" xr10:uidLastSave="{00000000-0000-0000-0000-000000000000}"/>
  <bookViews>
    <workbookView xWindow="0" yWindow="1545" windowWidth="33900" windowHeight="1456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3" i="1" l="1"/>
  <c r="E2" i="1"/>
  <c r="C4" i="1" l="1"/>
  <c r="E3" i="1"/>
  <c r="C5" i="1" l="1"/>
  <c r="E4" i="1"/>
  <c r="C6" i="1" l="1"/>
  <c r="E5" i="1"/>
  <c r="C7" i="1" l="1"/>
  <c r="C8" i="1" s="1"/>
  <c r="E6" i="1"/>
  <c r="C9" i="1" l="1"/>
  <c r="E8" i="1"/>
  <c r="E7" i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E9" i="1"/>
  <c r="C22" i="1"/>
  <c r="E21" i="1"/>
  <c r="C23" i="1" l="1"/>
  <c r="C24" i="1" s="1"/>
  <c r="C25" i="1" s="1"/>
  <c r="C26" i="1" s="1"/>
  <c r="E22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E36" i="1" l="1"/>
  <c r="C37" i="1"/>
  <c r="C38" i="1" l="1"/>
  <c r="E37" i="1"/>
  <c r="E38" i="1" l="1"/>
  <c r="C39" i="1"/>
  <c r="C40" i="1" l="1"/>
  <c r="E39" i="1"/>
  <c r="C41" i="1" l="1"/>
  <c r="E40" i="1"/>
  <c r="E41" i="1" l="1"/>
  <c r="C42" i="1"/>
  <c r="C43" i="1" l="1"/>
  <c r="E42" i="1"/>
  <c r="C44" i="1" l="1"/>
  <c r="E43" i="1"/>
  <c r="C45" i="1" l="1"/>
  <c r="E44" i="1"/>
  <c r="E45" i="1" l="1"/>
  <c r="C46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C69" i="1" l="1"/>
  <c r="E68" i="1"/>
  <c r="E69" i="1" l="1"/>
  <c r="C70" i="1"/>
  <c r="E70" i="1" l="1"/>
  <c r="C71" i="1"/>
  <c r="E71" i="1" l="1"/>
  <c r="C72" i="1"/>
  <c r="E72" i="1" l="1"/>
  <c r="C73" i="1"/>
  <c r="E73" i="1" l="1"/>
  <c r="C74" i="1"/>
  <c r="E74" i="1" l="1"/>
  <c r="C75" i="1"/>
  <c r="C76" i="1" l="1"/>
  <c r="C77" i="1" s="1"/>
  <c r="E75" i="1"/>
  <c r="C78" i="1" l="1"/>
  <c r="E77" i="1"/>
  <c r="E76" i="1"/>
  <c r="E78" i="1" l="1"/>
  <c r="C79" i="1"/>
  <c r="C80" i="1" l="1"/>
  <c r="E79" i="1"/>
  <c r="C81" i="1" l="1"/>
  <c r="E80" i="1"/>
  <c r="C82" i="1" l="1"/>
  <c r="E81" i="1"/>
  <c r="C83" i="1" l="1"/>
  <c r="E82" i="1"/>
  <c r="C84" i="1" l="1"/>
  <c r="E83" i="1"/>
  <c r="C85" i="1" l="1"/>
  <c r="E84" i="1"/>
  <c r="C86" i="1" l="1"/>
  <c r="E86" i="1" s="1"/>
  <c r="E85" i="1"/>
</calcChain>
</file>

<file path=xl/sharedStrings.xml><?xml version="1.0" encoding="utf-8"?>
<sst xmlns="http://schemas.openxmlformats.org/spreadsheetml/2006/main" count="863" uniqueCount="172">
  <si>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</si>
  <si>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</si>
  <si>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</si>
  <si>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</si>
  <si>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</si>
  <si>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</si>
  <si>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</si>
  <si>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</si>
  <si>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</si>
  <si>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</si>
  <si>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</si>
  <si>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</si>
  <si>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</si>
  <si>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</si>
  <si>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</si>
  <si>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</si>
  <si>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</si>
  <si>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</si>
  <si>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</si>
  <si>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</si>
  <si>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</si>
  <si>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</si>
  <si>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</si>
  <si>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</si>
  <si>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</si>
  <si>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</si>
  <si>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</si>
  <si>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</si>
  <si>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</si>
  <si>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</si>
  <si>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</si>
  <si>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</si>
  <si>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</si>
  <si>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</si>
  <si>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</si>
  <si>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</si>
  <si>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</si>
  <si>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</si>
  <si>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</si>
  <si>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</si>
  <si>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</si>
  <si>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</si>
  <si>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</si>
  <si>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</si>
  <si>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</si>
  <si>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</si>
  <si>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</si>
  <si>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</si>
  <si>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</si>
  <si>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</si>
  <si>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</si>
  <si>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</si>
  <si>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</si>
  <si>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</si>
  <si>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</si>
  <si>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</si>
  <si>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</si>
  <si>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</si>
  <si>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</si>
  <si>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</si>
  <si>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</si>
  <si>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</si>
  <si>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</si>
  <si>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</si>
  <si>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</si>
  <si>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</si>
  <si>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</si>
  <si>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</si>
  <si>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</si>
  <si>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</si>
  <si>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</si>
  <si>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</si>
  <si>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</si>
  <si>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</si>
  <si>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</si>
  <si>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</si>
  <si>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</si>
  <si>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</si>
  <si>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</si>
  <si>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</si>
  <si>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</si>
  <si>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</si>
  <si>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</si>
  <si>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</si>
  <si>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</si>
  <si>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</si>
  <si>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</si>
  <si>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</si>
  <si>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</si>
  <si>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</si>
  <si>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</si>
  <si>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</si>
  <si>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</si>
  <si>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</si>
  <si>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</si>
  <si>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</si>
  <si>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</si>
  <si>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</si>
  <si>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</si>
  <si>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</si>
  <si>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</si>
  <si>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</si>
  <si>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</si>
  <si>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</si>
  <si>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</si>
  <si>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</si>
  <si>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</si>
  <si>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</si>
  <si>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</si>
  <si>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</si>
  <si>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</si>
  <si>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</si>
  <si>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</si>
  <si>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</si>
  <si>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</si>
  <si>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</si>
  <si>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</si>
  <si>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</si>
  <si>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</si>
  <si>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</si>
  <si>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</si>
  <si>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</si>
  <si>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</si>
  <si>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</si>
  <si>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</si>
  <si>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</si>
  <si>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</si>
  <si>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</si>
  <si>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</si>
  <si>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</si>
  <si>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</si>
  <si>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</si>
  <si>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</si>
  <si>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</si>
  <si>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</si>
  <si>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</si>
  <si>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</si>
  <si>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</si>
  <si>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</si>
  <si>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</si>
  <si>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</si>
  <si>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</si>
  <si>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</si>
  <si>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</si>
  <si>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</si>
  <si>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</si>
  <si>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</si>
  <si>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</si>
  <si>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</si>
  <si>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</si>
  <si>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</si>
  <si>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</si>
  <si>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</si>
  <si>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</si>
  <si>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</si>
  <si>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</si>
  <si>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Stamdata.Sector2</t>
  </si>
  <si>
    <t>Rimelig</t>
  </si>
  <si>
    <t>Mindre god</t>
  </si>
  <si>
    <t>Mindre god, men mild i extention</t>
  </si>
  <si>
    <t>God (basis)</t>
  </si>
  <si>
    <t>rank, per1d,per5d,per10d</t>
  </si>
  <si>
    <t>Rimelig (kun GICS=Tech blev valgt)</t>
  </si>
  <si>
    <t>Longi.beta3m&gt;2</t>
  </si>
  <si>
    <t>Kun 3 pr grp for bredere udvalg</t>
  </si>
  <si>
    <t>Bytte priority-metode</t>
  </si>
  <si>
    <t>giver kun tab.  Beta er bedst til prioritering</t>
  </si>
  <si>
    <t>Mindre god, men bedst Sector2</t>
  </si>
  <si>
    <t>Old basis</t>
  </si>
  <si>
    <t>Bedst (men 4 i udvalg giver for mange)</t>
  </si>
  <si>
    <t>Ny basic</t>
  </si>
  <si>
    <t>Sector2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</si>
</sst>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1" xfId="0" applyFill="1" applyBorder="1"/>
    <xf numFmtId="0" fontId="0" fillId="0" borderId="0" xfId="0" applyFill="1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6"/>
  <sheetViews>
    <sheetView tabSelected="1"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H89" sqref="H89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6" width="30.42578125" customWidth="1"/>
    <col min="7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150</v>
      </c>
      <c r="D1" s="1" t="s">
        <v>151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A2" t="s">
        <v>23</v>
      </c>
      <c r="C2">
        <v>1</v>
      </c>
      <c r="D2" t="s">
        <v>168</v>
      </c>
      <c r="E2" t="str">
        <f>TEXT(C2,"00") &amp; " GICS-"&amp;K2&amp;" ("&amp;Q2&amp;IF(P2&lt;&gt;"","+ ","")&amp;P2&amp;")"</f>
        <v>01 GICS-beta3m (beta3m+ Longi.beta3m&gt;2.5)</v>
      </c>
      <c r="F2" t="s">
        <v>160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161</v>
      </c>
    </row>
    <row r="3" spans="1:25" x14ac:dyDescent="0.25">
      <c r="C3">
        <f>C2+1</f>
        <v>2</v>
      </c>
      <c r="E3" t="str">
        <f t="shared" ref="E3" si="0">TEXT(C3,"00") &amp; " GICS-"&amp;K3&amp;" ("&amp;Q3&amp;IF(P3&lt;&gt;"","+ ","")&amp;P3&amp;")"</f>
        <v>02 GICS-beta3m (beta3m)</v>
      </c>
      <c r="F3" t="s">
        <v>157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Q3" t="s">
        <v>27</v>
      </c>
      <c r="R3" t="s">
        <v>28</v>
      </c>
      <c r="S3">
        <v>1</v>
      </c>
      <c r="T3">
        <v>5</v>
      </c>
      <c r="U3">
        <v>0</v>
      </c>
      <c r="V3">
        <v>20</v>
      </c>
      <c r="W3">
        <v>0</v>
      </c>
      <c r="X3" t="s">
        <v>147</v>
      </c>
    </row>
    <row r="4" spans="1:25" x14ac:dyDescent="0.25">
      <c r="C4">
        <f t="shared" ref="C4:C5" si="1">C3+1</f>
        <v>3</v>
      </c>
      <c r="E4" t="str">
        <f t="shared" ref="E4:E9" si="2">TEXT(C4,"00") &amp; " GICS-"&amp;K4&amp;" ("&amp;Q4&amp;IF(P4&lt;&gt;"","+ ","")&amp;P4&amp;")"</f>
        <v>03 GICS-rank (beta3m+ Longi.beta3m&gt;2.5)</v>
      </c>
      <c r="F4" t="s">
        <v>30</v>
      </c>
      <c r="G4" t="s">
        <v>25</v>
      </c>
      <c r="H4" t="s">
        <v>26</v>
      </c>
      <c r="K4" t="s">
        <v>32</v>
      </c>
      <c r="L4" t="s">
        <v>33</v>
      </c>
      <c r="M4">
        <v>0.1</v>
      </c>
      <c r="N4">
        <v>10</v>
      </c>
      <c r="O4">
        <v>4</v>
      </c>
      <c r="P4" t="s">
        <v>143</v>
      </c>
      <c r="Q4" t="s">
        <v>27</v>
      </c>
      <c r="R4" t="s">
        <v>28</v>
      </c>
      <c r="S4">
        <v>1</v>
      </c>
      <c r="T4">
        <v>3</v>
      </c>
      <c r="U4">
        <v>0</v>
      </c>
      <c r="V4">
        <v>20</v>
      </c>
      <c r="W4">
        <v>0</v>
      </c>
      <c r="X4" t="s">
        <v>142</v>
      </c>
    </row>
    <row r="5" spans="1:25" x14ac:dyDescent="0.25">
      <c r="C5">
        <f t="shared" si="1"/>
        <v>4</v>
      </c>
      <c r="E5" t="str">
        <f t="shared" si="2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s="10" t="s">
        <v>135</v>
      </c>
    </row>
    <row r="6" spans="1:25" x14ac:dyDescent="0.25">
      <c r="C6">
        <f t="shared" ref="C6:C69" si="3">C5+1</f>
        <v>5</v>
      </c>
      <c r="E6" t="str">
        <f t="shared" si="2"/>
        <v>05 GICS-PdivMA20 (beta3m)</v>
      </c>
      <c r="F6" t="s">
        <v>30</v>
      </c>
      <c r="G6" t="s">
        <v>25</v>
      </c>
      <c r="H6" t="s">
        <v>26</v>
      </c>
      <c r="K6" t="s">
        <v>31</v>
      </c>
      <c r="L6" t="s">
        <v>28</v>
      </c>
      <c r="M6">
        <v>0.1</v>
      </c>
      <c r="N6">
        <v>10</v>
      </c>
      <c r="O6">
        <v>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t="s">
        <v>29</v>
      </c>
    </row>
    <row r="7" spans="1:25" x14ac:dyDescent="0.25">
      <c r="C7">
        <f t="shared" si="3"/>
        <v>6</v>
      </c>
      <c r="E7" t="str">
        <f t="shared" si="2"/>
        <v>06 GICS-sh3m (beta3m)</v>
      </c>
      <c r="F7" t="s">
        <v>169</v>
      </c>
      <c r="G7" t="s">
        <v>25</v>
      </c>
      <c r="H7" t="s">
        <v>26</v>
      </c>
      <c r="K7" t="s">
        <v>34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161</v>
      </c>
    </row>
    <row r="8" spans="1:25" x14ac:dyDescent="0.25">
      <c r="C8">
        <f t="shared" si="3"/>
        <v>7</v>
      </c>
      <c r="E8" t="str">
        <f t="shared" si="2"/>
        <v>07 GICS-quot1020 (beta3m)</v>
      </c>
      <c r="F8" t="s">
        <v>30</v>
      </c>
      <c r="G8" t="s">
        <v>25</v>
      </c>
      <c r="H8" t="s">
        <v>26</v>
      </c>
      <c r="K8" t="s">
        <v>43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tr">
        <f t="shared" si="2"/>
        <v>08 GICS-quot2050 (beta3m)</v>
      </c>
      <c r="F9" t="s">
        <v>24</v>
      </c>
      <c r="G9" t="s">
        <v>25</v>
      </c>
      <c r="H9" t="s">
        <v>26</v>
      </c>
      <c r="K9" t="s">
        <v>45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35</v>
      </c>
      <c r="G10" t="s">
        <v>36</v>
      </c>
      <c r="H10" t="s">
        <v>26</v>
      </c>
      <c r="K10" t="s">
        <v>27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37</v>
      </c>
      <c r="G11" t="s">
        <v>36</v>
      </c>
      <c r="H11" t="s">
        <v>26</v>
      </c>
      <c r="K11" t="s">
        <v>38</v>
      </c>
      <c r="L11" t="s">
        <v>33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39</v>
      </c>
      <c r="G12" t="s">
        <v>36</v>
      </c>
      <c r="H12" t="s">
        <v>26</v>
      </c>
      <c r="K12" t="s">
        <v>31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40</v>
      </c>
      <c r="G13" t="s">
        <v>36</v>
      </c>
      <c r="H13" t="s">
        <v>26</v>
      </c>
      <c r="K13" t="s">
        <v>41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42</v>
      </c>
      <c r="G14" t="s">
        <v>36</v>
      </c>
      <c r="H14" t="s">
        <v>26</v>
      </c>
      <c r="K14" t="s">
        <v>43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44</v>
      </c>
      <c r="G15" t="s">
        <v>36</v>
      </c>
      <c r="H15" t="s">
        <v>26</v>
      </c>
      <c r="K15" t="s">
        <v>45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46</v>
      </c>
      <c r="G16" t="s">
        <v>36</v>
      </c>
      <c r="H16" t="s">
        <v>26</v>
      </c>
      <c r="K16" t="s">
        <v>32</v>
      </c>
      <c r="L16" t="s">
        <v>33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47</v>
      </c>
      <c r="G17" t="s">
        <v>36</v>
      </c>
      <c r="H17" t="s">
        <v>26</v>
      </c>
      <c r="K17" t="s">
        <v>48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49</v>
      </c>
      <c r="G18" t="s">
        <v>36</v>
      </c>
      <c r="H18" t="s">
        <v>26</v>
      </c>
      <c r="K18" t="s">
        <v>34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50</v>
      </c>
      <c r="G19" t="s">
        <v>36</v>
      </c>
      <c r="H19" t="s">
        <v>26</v>
      </c>
      <c r="K19" t="s">
        <v>51</v>
      </c>
      <c r="L19" t="s">
        <v>33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">
        <v>52</v>
      </c>
      <c r="G20" t="s">
        <v>36</v>
      </c>
      <c r="H20" t="s">
        <v>26</v>
      </c>
      <c r="K20" t="s">
        <v>53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ref="E21:E22" si="4">TEXT(C21,"00") &amp; " GICS-"&amp;K21&amp;" ("&amp;Q21&amp;IF(P21&lt;&gt;"","+ ","")&amp;P21&amp;")"</f>
        <v>20 GICS-rsi (beta3m)</v>
      </c>
      <c r="G21" t="s">
        <v>25</v>
      </c>
      <c r="H21" t="s">
        <v>26</v>
      </c>
      <c r="K21" t="s">
        <v>48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tr">
        <f t="shared" si="4"/>
        <v>21 GICS-spr100d (beta3m)</v>
      </c>
      <c r="G22" t="s">
        <v>25</v>
      </c>
      <c r="H22" t="s">
        <v>26</v>
      </c>
      <c r="K22" t="s">
        <v>51</v>
      </c>
      <c r="L22" t="s">
        <v>33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54</v>
      </c>
      <c r="G23" t="s">
        <v>55</v>
      </c>
      <c r="H23" t="s">
        <v>26</v>
      </c>
      <c r="K23" t="s">
        <v>45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56</v>
      </c>
      <c r="G24" t="s">
        <v>55</v>
      </c>
      <c r="H24" t="s">
        <v>26</v>
      </c>
      <c r="K24" t="s">
        <v>34</v>
      </c>
      <c r="L24" t="s">
        <v>28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">
        <v>57</v>
      </c>
      <c r="G25" t="s">
        <v>55</v>
      </c>
      <c r="H25" t="s">
        <v>26</v>
      </c>
      <c r="K25" t="s">
        <v>51</v>
      </c>
      <c r="L25" t="s">
        <v>33</v>
      </c>
      <c r="M25">
        <v>0.1</v>
      </c>
      <c r="N25">
        <v>10</v>
      </c>
      <c r="O25">
        <v>4</v>
      </c>
      <c r="Q25" t="s">
        <v>27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ref="E26:E71" si="5">TEXT(C26,"00") &amp; " GICS-"&amp;K26&amp;" ("&amp;Q26&amp;IF(P26&lt;&gt;"","+ ","")&amp;P26&amp;")"</f>
        <v>25 GICS-beta6m (beta6m)</v>
      </c>
      <c r="F26" t="s">
        <v>127</v>
      </c>
      <c r="G26" t="s">
        <v>25</v>
      </c>
      <c r="H26" t="s">
        <v>26</v>
      </c>
      <c r="K26" t="s">
        <v>126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GICS-beta3m (beta6m)</v>
      </c>
      <c r="F27" t="s">
        <v>127</v>
      </c>
      <c r="G27" t="s">
        <v>25</v>
      </c>
      <c r="H27" t="s">
        <v>26</v>
      </c>
      <c r="K27" t="s">
        <v>27</v>
      </c>
      <c r="L27" t="s">
        <v>28</v>
      </c>
      <c r="M27">
        <v>0.1</v>
      </c>
      <c r="N27">
        <v>10</v>
      </c>
      <c r="O27">
        <v>4</v>
      </c>
      <c r="Q27" t="s">
        <v>126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GICS-beta6m (beta3m)</v>
      </c>
      <c r="F28" t="s">
        <v>127</v>
      </c>
      <c r="G28" t="s">
        <v>25</v>
      </c>
      <c r="H28" t="s">
        <v>26</v>
      </c>
      <c r="K28" t="s">
        <v>126</v>
      </c>
      <c r="L28" t="s">
        <v>28</v>
      </c>
      <c r="M28">
        <v>0.1</v>
      </c>
      <c r="N28">
        <v>10</v>
      </c>
      <c r="O28">
        <v>4</v>
      </c>
      <c r="Q28" t="s">
        <v>27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GICS-beta1m (beta1m)</v>
      </c>
      <c r="F29" t="s">
        <v>130</v>
      </c>
      <c r="G29" t="s">
        <v>25</v>
      </c>
      <c r="H29" t="s">
        <v>26</v>
      </c>
      <c r="K29" t="s">
        <v>128</v>
      </c>
      <c r="L29" t="s">
        <v>28</v>
      </c>
      <c r="M29">
        <v>0.1</v>
      </c>
      <c r="N29">
        <v>10</v>
      </c>
      <c r="O29">
        <v>4</v>
      </c>
      <c r="Q29" t="s">
        <v>128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GICS-beta2m (beta2m)</v>
      </c>
      <c r="F30" t="s">
        <v>130</v>
      </c>
      <c r="G30" t="s">
        <v>25</v>
      </c>
      <c r="H30" t="s">
        <v>26</v>
      </c>
      <c r="K30" t="s">
        <v>129</v>
      </c>
      <c r="L30" t="s">
        <v>28</v>
      </c>
      <c r="M30">
        <v>0.1</v>
      </c>
      <c r="N30">
        <v>10</v>
      </c>
      <c r="O30">
        <v>4</v>
      </c>
      <c r="Q30" t="s">
        <v>129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GICS-beta3m (beta3m+ Longi.rank&lt;1000)</v>
      </c>
      <c r="G31" t="s">
        <v>131</v>
      </c>
      <c r="H31" t="s">
        <v>26</v>
      </c>
      <c r="K31" t="s">
        <v>27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GICS-PdivMA20 (beta3m+ Longi.rank&lt;1000)</v>
      </c>
      <c r="F32" t="s">
        <v>133</v>
      </c>
      <c r="G32" t="s">
        <v>131</v>
      </c>
      <c r="H32" t="s">
        <v>26</v>
      </c>
      <c r="K32" t="s">
        <v>31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3"/>
        <v>32</v>
      </c>
      <c r="E33" t="str">
        <f t="shared" si="5"/>
        <v>32 GICS-rank (beta3m+ Longi.rank&lt;1000)</v>
      </c>
      <c r="F33" t="s">
        <v>141</v>
      </c>
      <c r="G33" t="s">
        <v>131</v>
      </c>
      <c r="H33" t="s">
        <v>26</v>
      </c>
      <c r="K33" t="s">
        <v>32</v>
      </c>
      <c r="L33" t="s">
        <v>33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135</v>
      </c>
    </row>
    <row r="34" spans="3:24" x14ac:dyDescent="0.25">
      <c r="C34">
        <f t="shared" si="3"/>
        <v>33</v>
      </c>
      <c r="E34" t="str">
        <f t="shared" si="5"/>
        <v>33 GICS-sh3m (beta3m+ Longi.rank&lt;1000)</v>
      </c>
      <c r="G34" t="s">
        <v>131</v>
      </c>
      <c r="H34" t="s">
        <v>26</v>
      </c>
      <c r="K34" t="s">
        <v>34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GICS-rsi (beta3m+ Longi.rank&lt;1000)</v>
      </c>
      <c r="G35" t="s">
        <v>131</v>
      </c>
      <c r="H35" t="s">
        <v>26</v>
      </c>
      <c r="K35" t="s">
        <v>48</v>
      </c>
      <c r="L35" t="s">
        <v>28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GICS-spr100d (beta3m+ Longi.rank&lt;1000)</v>
      </c>
      <c r="G36" t="s">
        <v>131</v>
      </c>
      <c r="H36" t="s">
        <v>26</v>
      </c>
      <c r="K36" t="s">
        <v>51</v>
      </c>
      <c r="L36" t="s">
        <v>33</v>
      </c>
      <c r="M36">
        <v>0.1</v>
      </c>
      <c r="N36">
        <v>5</v>
      </c>
      <c r="O36">
        <v>4</v>
      </c>
      <c r="P36" t="s">
        <v>132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29</v>
      </c>
    </row>
    <row r="37" spans="3:24" x14ac:dyDescent="0.25">
      <c r="C37">
        <f t="shared" si="3"/>
        <v>36</v>
      </c>
      <c r="E37" t="str">
        <f t="shared" si="5"/>
        <v>36 GICS-rank (beta3m)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Longi.per1d&gt;0)</v>
      </c>
      <c r="F38" t="s">
        <v>141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136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Longi.regr20d&gt;0)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137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Longi.regr50d&gt;0)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138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Longi.median_10d&lt;1100)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139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GICS-rank (beta3m+ Longi.median_10d&lt;1000)</v>
      </c>
      <c r="F42" t="s">
        <v>141</v>
      </c>
      <c r="G42" t="s">
        <v>131</v>
      </c>
      <c r="H42" t="s">
        <v>26</v>
      </c>
      <c r="K42" t="s">
        <v>32</v>
      </c>
      <c r="L42" t="s">
        <v>33</v>
      </c>
      <c r="M42">
        <v>0.1</v>
      </c>
      <c r="N42">
        <v>5</v>
      </c>
      <c r="O42">
        <v>4</v>
      </c>
      <c r="P42" t="s">
        <v>140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135</v>
      </c>
    </row>
    <row r="43" spans="3:24" x14ac:dyDescent="0.25">
      <c r="C43">
        <f t="shared" si="3"/>
        <v>42</v>
      </c>
      <c r="E43" t="str">
        <f t="shared" si="5"/>
        <v>42 GICS-PdivMA20 (beta3m)</v>
      </c>
      <c r="G43" t="s">
        <v>131</v>
      </c>
      <c r="H43" t="s">
        <v>26</v>
      </c>
      <c r="K43" t="s">
        <v>31</v>
      </c>
      <c r="L43" t="s">
        <v>28</v>
      </c>
      <c r="M43">
        <v>0.1</v>
      </c>
      <c r="N43">
        <v>5</v>
      </c>
      <c r="O43">
        <v>4</v>
      </c>
      <c r="Q43" t="s">
        <v>27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29</v>
      </c>
    </row>
    <row r="44" spans="3:24" s="11" customFormat="1" x14ac:dyDescent="0.25">
      <c r="C44" s="11">
        <f t="shared" si="3"/>
        <v>43</v>
      </c>
      <c r="E44" s="11" t="str">
        <f t="shared" si="5"/>
        <v>43 GICS-rank (beta3m)</v>
      </c>
      <c r="F44" s="11" t="s">
        <v>144</v>
      </c>
      <c r="G44" s="11" t="s">
        <v>131</v>
      </c>
      <c r="H44" s="11" t="s">
        <v>26</v>
      </c>
      <c r="K44" s="11" t="s">
        <v>32</v>
      </c>
      <c r="L44" s="11" t="s">
        <v>33</v>
      </c>
      <c r="M44" s="11">
        <v>0.1</v>
      </c>
      <c r="N44" s="11">
        <v>5</v>
      </c>
      <c r="O44" s="11">
        <v>4</v>
      </c>
      <c r="Q44" s="11" t="s">
        <v>27</v>
      </c>
      <c r="R44" s="11" t="s">
        <v>28</v>
      </c>
      <c r="S44" s="11">
        <v>1</v>
      </c>
      <c r="T44" s="11">
        <v>3</v>
      </c>
      <c r="U44" s="11">
        <v>0</v>
      </c>
      <c r="V44" s="11">
        <v>20</v>
      </c>
      <c r="W44" s="11">
        <v>0</v>
      </c>
      <c r="X44" s="11" t="s">
        <v>135</v>
      </c>
    </row>
    <row r="45" spans="3:24" x14ac:dyDescent="0.25">
      <c r="C45">
        <f t="shared" si="3"/>
        <v>44</v>
      </c>
      <c r="E45" t="str">
        <f t="shared" si="5"/>
        <v>44 GICS-rank (PdivMA20+ Longi.rank&lt;1000)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P45" t="s">
        <v>132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(PdivMA20)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0.1</v>
      </c>
      <c r="N46">
        <v>5</v>
      </c>
      <c r="O46">
        <v>4</v>
      </c>
      <c r="Q46" t="s">
        <v>31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(beta3m+ Longi.rank&lt;1000)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P47" t="s">
        <v>132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(beta3m)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0.2</v>
      </c>
      <c r="N48">
        <v>5</v>
      </c>
      <c r="O48">
        <v>4</v>
      </c>
      <c r="Q48" t="s">
        <v>27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(PdivMA20+ Longi.rank&lt;1000)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P49" t="s">
        <v>132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(PdivMA20)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Q50" t="s">
        <v>31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(beta3m+ Longi.rank&lt;1000)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P51" t="s">
        <v>132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(beta3m)</v>
      </c>
      <c r="F52" t="s">
        <v>130</v>
      </c>
      <c r="G52" t="s">
        <v>131</v>
      </c>
      <c r="H52" t="s">
        <v>26</v>
      </c>
      <c r="K52" t="s">
        <v>32</v>
      </c>
      <c r="L52" t="s">
        <v>33</v>
      </c>
      <c r="M52">
        <v>0.1</v>
      </c>
      <c r="N52">
        <v>3</v>
      </c>
      <c r="O52">
        <v>4</v>
      </c>
      <c r="Q52" t="s">
        <v>27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29</v>
      </c>
    </row>
    <row r="53" spans="3:24" x14ac:dyDescent="0.25">
      <c r="C53">
        <f t="shared" si="3"/>
        <v>52</v>
      </c>
      <c r="E53" t="str">
        <f t="shared" si="5"/>
        <v>52 GICS-rank (rsi)</v>
      </c>
      <c r="F53" t="s">
        <v>130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48</v>
      </c>
      <c r="R53" t="s">
        <v>28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(rank)</v>
      </c>
      <c r="F54" t="s">
        <v>134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32</v>
      </c>
      <c r="R54" t="s">
        <v>33</v>
      </c>
      <c r="S54">
        <v>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x14ac:dyDescent="0.25">
      <c r="C55">
        <f t="shared" si="3"/>
        <v>54</v>
      </c>
      <c r="E55" t="str">
        <f t="shared" si="5"/>
        <v>54 GICS-rank (rsi)</v>
      </c>
      <c r="F55" t="s">
        <v>130</v>
      </c>
      <c r="G55" t="s">
        <v>25</v>
      </c>
      <c r="H55" t="s">
        <v>26</v>
      </c>
      <c r="K55" t="s">
        <v>32</v>
      </c>
      <c r="L55" t="s">
        <v>33</v>
      </c>
      <c r="M55">
        <v>0.1</v>
      </c>
      <c r="N55">
        <v>10</v>
      </c>
      <c r="O55">
        <v>4</v>
      </c>
      <c r="Q55" t="s">
        <v>48</v>
      </c>
      <c r="R55" t="s">
        <v>28</v>
      </c>
      <c r="S55">
        <v>-1</v>
      </c>
      <c r="T55">
        <v>3</v>
      </c>
      <c r="U55">
        <v>0</v>
      </c>
      <c r="V55">
        <v>20</v>
      </c>
      <c r="W55">
        <v>0</v>
      </c>
      <c r="X55" t="s">
        <v>135</v>
      </c>
    </row>
    <row r="56" spans="3:24" s="9" customFormat="1" x14ac:dyDescent="0.25">
      <c r="C56" s="9">
        <f t="shared" si="3"/>
        <v>55</v>
      </c>
      <c r="E56" s="9" t="str">
        <f t="shared" si="5"/>
        <v>55 GICS-rank (rank)</v>
      </c>
      <c r="F56" s="9" t="s">
        <v>134</v>
      </c>
      <c r="G56" s="9" t="s">
        <v>25</v>
      </c>
      <c r="H56" s="9" t="s">
        <v>26</v>
      </c>
      <c r="K56" s="9" t="s">
        <v>32</v>
      </c>
      <c r="L56" s="9" t="s">
        <v>33</v>
      </c>
      <c r="M56" s="9">
        <v>0.1</v>
      </c>
      <c r="N56" s="9">
        <v>10</v>
      </c>
      <c r="O56" s="9">
        <v>4</v>
      </c>
      <c r="Q56" s="9" t="s">
        <v>32</v>
      </c>
      <c r="R56" s="9" t="s">
        <v>33</v>
      </c>
      <c r="S56" s="9">
        <v>-1</v>
      </c>
      <c r="T56" s="9">
        <v>3</v>
      </c>
      <c r="U56" s="9">
        <v>0</v>
      </c>
      <c r="V56" s="9">
        <v>20</v>
      </c>
      <c r="W56" s="9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145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1</v>
      </c>
      <c r="U57">
        <v>0</v>
      </c>
      <c r="V57">
        <v>20</v>
      </c>
      <c r="W57">
        <v>0</v>
      </c>
      <c r="X57" t="s">
        <v>135</v>
      </c>
    </row>
    <row r="58" spans="3:24" x14ac:dyDescent="0.25">
      <c r="C58">
        <f t="shared" si="3"/>
        <v>57</v>
      </c>
      <c r="E58" t="str">
        <f t="shared" si="5"/>
        <v>57 GICS-beta3m (beta3m+ Longi.beta3m&gt;2.5)</v>
      </c>
      <c r="F58" t="s">
        <v>145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4</v>
      </c>
      <c r="P58" t="s">
        <v>143</v>
      </c>
      <c r="Q58" t="s">
        <v>27</v>
      </c>
      <c r="R58" t="s">
        <v>28</v>
      </c>
      <c r="S58">
        <v>1</v>
      </c>
      <c r="T58">
        <v>5</v>
      </c>
      <c r="U58">
        <v>0</v>
      </c>
      <c r="V58">
        <v>20</v>
      </c>
      <c r="W58">
        <v>0</v>
      </c>
      <c r="X58" t="s">
        <v>135</v>
      </c>
    </row>
    <row r="59" spans="3:24" s="9" customFormat="1" x14ac:dyDescent="0.25">
      <c r="C59" s="9">
        <f t="shared" si="3"/>
        <v>58</v>
      </c>
      <c r="E59" s="9" t="str">
        <f t="shared" si="5"/>
        <v>58 GICS-beta3m (beta3m+ Longi.beta3m&gt;2.5)</v>
      </c>
      <c r="F59" s="9" t="s">
        <v>145</v>
      </c>
      <c r="G59" s="9" t="s">
        <v>25</v>
      </c>
      <c r="H59" s="9" t="s">
        <v>26</v>
      </c>
      <c r="K59" s="9" t="s">
        <v>27</v>
      </c>
      <c r="L59" s="9" t="s">
        <v>28</v>
      </c>
      <c r="M59" s="9">
        <v>0.1</v>
      </c>
      <c r="N59" s="9">
        <v>10</v>
      </c>
      <c r="O59" s="9">
        <v>4</v>
      </c>
      <c r="P59" s="9" t="s">
        <v>143</v>
      </c>
      <c r="Q59" s="9" t="s">
        <v>27</v>
      </c>
      <c r="R59" s="9" t="s">
        <v>28</v>
      </c>
      <c r="S59" s="9">
        <v>1</v>
      </c>
      <c r="T59" s="9">
        <v>10</v>
      </c>
      <c r="U59" s="9">
        <v>0</v>
      </c>
      <c r="V59" s="9">
        <v>20</v>
      </c>
      <c r="W59" s="9">
        <v>0</v>
      </c>
      <c r="X59" s="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146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6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x14ac:dyDescent="0.25">
      <c r="C61">
        <f t="shared" si="3"/>
        <v>60</v>
      </c>
      <c r="E61" t="str">
        <f t="shared" si="5"/>
        <v>60 GICS-beta3m (beta3m+ Longi.beta3m&gt;2.5)</v>
      </c>
      <c r="F61" t="s">
        <v>146</v>
      </c>
      <c r="G61" t="s">
        <v>25</v>
      </c>
      <c r="H61" t="s">
        <v>26</v>
      </c>
      <c r="K61" t="s">
        <v>27</v>
      </c>
      <c r="L61" t="s">
        <v>28</v>
      </c>
      <c r="M61">
        <v>0.1</v>
      </c>
      <c r="N61">
        <v>10</v>
      </c>
      <c r="O61">
        <v>8</v>
      </c>
      <c r="P61" t="s">
        <v>143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135</v>
      </c>
    </row>
    <row r="62" spans="3:24" s="9" customFormat="1" x14ac:dyDescent="0.25">
      <c r="C62" s="9">
        <f t="shared" si="3"/>
        <v>61</v>
      </c>
      <c r="E62" s="9" t="str">
        <f t="shared" si="5"/>
        <v>61 GICS-beta3m (beta3m+ Longi.beta3m&gt;2.5)</v>
      </c>
      <c r="F62" s="9" t="s">
        <v>146</v>
      </c>
      <c r="G62" s="9" t="s">
        <v>25</v>
      </c>
      <c r="H62" s="9" t="s">
        <v>26</v>
      </c>
      <c r="K62" s="9" t="s">
        <v>27</v>
      </c>
      <c r="L62" s="9" t="s">
        <v>28</v>
      </c>
      <c r="M62" s="9">
        <v>0.1</v>
      </c>
      <c r="N62" s="9">
        <v>10</v>
      </c>
      <c r="O62" s="9">
        <v>10</v>
      </c>
      <c r="P62" s="9" t="s">
        <v>143</v>
      </c>
      <c r="Q62" s="9" t="s">
        <v>27</v>
      </c>
      <c r="R62" s="9" t="s">
        <v>28</v>
      </c>
      <c r="S62" s="9">
        <v>1</v>
      </c>
      <c r="T62" s="9">
        <v>3</v>
      </c>
      <c r="U62" s="9">
        <v>0</v>
      </c>
      <c r="V62" s="9">
        <v>20</v>
      </c>
      <c r="W62" s="9">
        <v>0</v>
      </c>
      <c r="X62" s="9" t="s">
        <v>135</v>
      </c>
    </row>
    <row r="63" spans="3:24" x14ac:dyDescent="0.25">
      <c r="C63">
        <f t="shared" si="3"/>
        <v>62</v>
      </c>
      <c r="E63" t="str">
        <f t="shared" si="5"/>
        <v>62 GICS-beta3m (beta3m+ Longi.rank&lt;1000)</v>
      </c>
      <c r="F63" t="s">
        <v>149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132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147</v>
      </c>
    </row>
    <row r="64" spans="3:24" x14ac:dyDescent="0.25">
      <c r="C64">
        <f t="shared" si="3"/>
        <v>63</v>
      </c>
      <c r="E64" t="str">
        <f t="shared" si="5"/>
        <v>63 GICS-beta3m (beta3m+ Longi.beta3m&gt;2.5)</v>
      </c>
      <c r="F64" t="s">
        <v>149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143</v>
      </c>
      <c r="Q64" t="s">
        <v>27</v>
      </c>
      <c r="R64" t="s">
        <v>28</v>
      </c>
      <c r="S64">
        <v>1</v>
      </c>
      <c r="T64">
        <v>3</v>
      </c>
      <c r="U64">
        <v>0</v>
      </c>
      <c r="V64">
        <v>20</v>
      </c>
      <c r="W64">
        <v>0</v>
      </c>
      <c r="X64" t="s">
        <v>147</v>
      </c>
    </row>
    <row r="65" spans="1:24" x14ac:dyDescent="0.25">
      <c r="C65">
        <f t="shared" si="3"/>
        <v>64</v>
      </c>
      <c r="E65" t="str">
        <f t="shared" si="5"/>
        <v>64 GICS-beta3m (beta3m+ Longi.rank&lt;1000)</v>
      </c>
      <c r="F65" t="s">
        <v>149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132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147</v>
      </c>
    </row>
    <row r="66" spans="1:24" x14ac:dyDescent="0.25">
      <c r="C66">
        <f t="shared" si="3"/>
        <v>65</v>
      </c>
      <c r="E66" t="str">
        <f t="shared" si="5"/>
        <v>65 GICS-beta3m (beta3m+ Longi.beta3m&gt;2.5)</v>
      </c>
      <c r="F66" t="s">
        <v>149</v>
      </c>
      <c r="G66" t="s">
        <v>25</v>
      </c>
      <c r="H66" t="s">
        <v>26</v>
      </c>
      <c r="K66" t="s">
        <v>27</v>
      </c>
      <c r="L66" t="s">
        <v>28</v>
      </c>
      <c r="M66">
        <v>0.15</v>
      </c>
      <c r="N66">
        <v>10</v>
      </c>
      <c r="O66">
        <v>4</v>
      </c>
      <c r="P66" t="s">
        <v>143</v>
      </c>
      <c r="Q66" t="s">
        <v>27</v>
      </c>
      <c r="R66" t="s">
        <v>28</v>
      </c>
      <c r="S66">
        <v>1</v>
      </c>
      <c r="T66">
        <v>3</v>
      </c>
      <c r="U66">
        <v>-20</v>
      </c>
      <c r="V66">
        <v>20</v>
      </c>
      <c r="W66">
        <v>0</v>
      </c>
      <c r="X66" t="s">
        <v>147</v>
      </c>
    </row>
    <row r="67" spans="1:24" x14ac:dyDescent="0.25">
      <c r="C67">
        <f t="shared" si="3"/>
        <v>66</v>
      </c>
      <c r="E67" t="str">
        <f t="shared" si="5"/>
        <v>66 GICS-beta3m (beta3m)</v>
      </c>
      <c r="F67" t="s">
        <v>149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147</v>
      </c>
    </row>
    <row r="68" spans="1:24" x14ac:dyDescent="0.25">
      <c r="C68">
        <f t="shared" si="3"/>
        <v>67</v>
      </c>
      <c r="E68" t="str">
        <f t="shared" si="5"/>
        <v>67 GICS-beta3m (beta3m+ Longi.rank&lt;1000 .and. Longi.beta3m&gt;2.5)</v>
      </c>
      <c r="F68" t="s">
        <v>149</v>
      </c>
      <c r="G68" t="s">
        <v>25</v>
      </c>
      <c r="H68" t="s">
        <v>26</v>
      </c>
      <c r="K68" t="s">
        <v>27</v>
      </c>
      <c r="L68" t="s">
        <v>28</v>
      </c>
      <c r="M68">
        <v>0.1</v>
      </c>
      <c r="N68">
        <v>10</v>
      </c>
      <c r="O68">
        <v>4</v>
      </c>
      <c r="P68" t="s">
        <v>148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147</v>
      </c>
    </row>
    <row r="69" spans="1:24" s="9" customFormat="1" x14ac:dyDescent="0.25">
      <c r="C69" s="9">
        <f t="shared" si="3"/>
        <v>68</v>
      </c>
      <c r="E69" s="9" t="str">
        <f t="shared" si="5"/>
        <v>68 GICS-beta3m (beta3m+ Longi.rank&lt;1000 .and. Longi.beta3m&gt;2.5)</v>
      </c>
      <c r="F69" s="9" t="s">
        <v>149</v>
      </c>
      <c r="G69" s="9" t="s">
        <v>25</v>
      </c>
      <c r="H69" s="9" t="s">
        <v>26</v>
      </c>
      <c r="K69" s="9" t="s">
        <v>27</v>
      </c>
      <c r="L69" s="9" t="s">
        <v>28</v>
      </c>
      <c r="M69" s="9">
        <v>0.1</v>
      </c>
      <c r="N69" s="9">
        <v>10</v>
      </c>
      <c r="O69" s="9">
        <v>5</v>
      </c>
      <c r="P69" s="9" t="s">
        <v>148</v>
      </c>
      <c r="Q69" s="9" t="s">
        <v>27</v>
      </c>
      <c r="R69" s="9" t="s">
        <v>28</v>
      </c>
      <c r="S69" s="9">
        <v>1</v>
      </c>
      <c r="T69" s="9">
        <v>3</v>
      </c>
      <c r="U69" s="9">
        <v>0</v>
      </c>
      <c r="V69" s="9">
        <v>20</v>
      </c>
      <c r="W69" s="9">
        <v>0</v>
      </c>
      <c r="X69" s="9" t="s">
        <v>147</v>
      </c>
    </row>
    <row r="70" spans="1:24" x14ac:dyDescent="0.25">
      <c r="C70">
        <f>C69+1</f>
        <v>69</v>
      </c>
      <c r="D70" t="s">
        <v>152</v>
      </c>
      <c r="E70" t="str">
        <f t="shared" si="5"/>
        <v>69 GICS-beta2m (beta3m+ Longi.beta3m&gt;2.5)</v>
      </c>
      <c r="F70" t="s">
        <v>155</v>
      </c>
      <c r="G70" t="s">
        <v>25</v>
      </c>
      <c r="H70" t="s">
        <v>26</v>
      </c>
      <c r="K70" t="s">
        <v>129</v>
      </c>
      <c r="L70" t="s">
        <v>28</v>
      </c>
      <c r="M70">
        <v>0.1</v>
      </c>
      <c r="N70">
        <v>10</v>
      </c>
      <c r="O70">
        <v>4</v>
      </c>
      <c r="P70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1:24" x14ac:dyDescent="0.25">
      <c r="C71">
        <f>C70+1</f>
        <v>70</v>
      </c>
      <c r="D71" t="s">
        <v>152</v>
      </c>
      <c r="E71" t="str">
        <f t="shared" si="5"/>
        <v>70 GICS-beta1m (beta3m+ Longi.beta3m&gt;2.5)</v>
      </c>
      <c r="F71" t="s">
        <v>155</v>
      </c>
      <c r="G71" t="s">
        <v>25</v>
      </c>
      <c r="H71" t="s">
        <v>26</v>
      </c>
      <c r="K71" t="s">
        <v>128</v>
      </c>
      <c r="L71" t="s">
        <v>28</v>
      </c>
      <c r="M71">
        <v>0.1</v>
      </c>
      <c r="N71">
        <v>10</v>
      </c>
      <c r="O71">
        <v>4</v>
      </c>
      <c r="P71" t="s">
        <v>143</v>
      </c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1:24" x14ac:dyDescent="0.25">
      <c r="C72">
        <f>C71+1</f>
        <v>71</v>
      </c>
      <c r="D72" t="s">
        <v>152</v>
      </c>
      <c r="E72" t="str">
        <f t="shared" ref="E72:E73" si="6">TEXT(C72,"00") &amp; " GICS-"&amp;K72&amp;" ("&amp;Q72&amp;IF(P72&lt;&gt;"","+ ","")&amp;P72&amp;")"</f>
        <v>71 GICS-beta2m (beta3m)</v>
      </c>
      <c r="F72" t="s">
        <v>155</v>
      </c>
      <c r="G72" t="s">
        <v>25</v>
      </c>
      <c r="H72" t="s">
        <v>26</v>
      </c>
      <c r="K72" t="s">
        <v>129</v>
      </c>
      <c r="L72" t="s">
        <v>28</v>
      </c>
      <c r="M72">
        <v>0.1</v>
      </c>
      <c r="N72">
        <v>10</v>
      </c>
      <c r="O72">
        <v>4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1:24" x14ac:dyDescent="0.25">
      <c r="C73">
        <f>C72+1</f>
        <v>72</v>
      </c>
      <c r="D73" t="s">
        <v>152</v>
      </c>
      <c r="E73" t="str">
        <f t="shared" si="6"/>
        <v>72 GICS-beta1m (beta3m)</v>
      </c>
      <c r="F73" t="s">
        <v>155</v>
      </c>
      <c r="G73" t="s">
        <v>25</v>
      </c>
      <c r="H73" t="s">
        <v>26</v>
      </c>
      <c r="K73" t="s">
        <v>128</v>
      </c>
      <c r="L73" t="s">
        <v>28</v>
      </c>
      <c r="M73">
        <v>0.1</v>
      </c>
      <c r="N73">
        <v>10</v>
      </c>
      <c r="O73">
        <v>4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1:24" x14ac:dyDescent="0.25">
      <c r="C74">
        <f>C73+1</f>
        <v>73</v>
      </c>
      <c r="D74" t="s">
        <v>152</v>
      </c>
      <c r="E74" t="str">
        <f t="shared" ref="E74" si="7">TEXT(C74,"00") &amp; " GICS-"&amp;K74&amp;" ("&amp;Q74&amp;IF(P74&lt;&gt;"","+ ","")&amp;P74&amp;")"</f>
        <v>73 GICS-beta2m (beta3m)</v>
      </c>
      <c r="F74" t="s">
        <v>155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5</v>
      </c>
      <c r="Q74" t="s">
        <v>27</v>
      </c>
      <c r="R74" t="s">
        <v>28</v>
      </c>
      <c r="S74">
        <v>1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1:24" x14ac:dyDescent="0.25">
      <c r="C75">
        <f t="shared" ref="C75:C86" si="8">C74+1</f>
        <v>74</v>
      </c>
      <c r="D75" t="s">
        <v>152</v>
      </c>
      <c r="E75" t="str">
        <f t="shared" ref="E75:E80" si="9">TEXT(C75,"00") &amp; " GICS-"&amp;K75&amp;" ("&amp;Q75&amp;IF(P75&lt;&gt;"","+ ","")&amp;P75&amp;")"</f>
        <v>74 GICS-beta2m (beta3m)</v>
      </c>
      <c r="F75" t="s">
        <v>154</v>
      </c>
      <c r="G75" t="s">
        <v>25</v>
      </c>
      <c r="H75" t="s">
        <v>26</v>
      </c>
      <c r="K75" t="s">
        <v>129</v>
      </c>
      <c r="L75" t="s">
        <v>28</v>
      </c>
      <c r="M75">
        <v>0.1</v>
      </c>
      <c r="N75">
        <v>10</v>
      </c>
      <c r="O75">
        <v>4</v>
      </c>
      <c r="Q75" t="s">
        <v>27</v>
      </c>
      <c r="R75" t="s">
        <v>28</v>
      </c>
      <c r="S75">
        <v>3</v>
      </c>
      <c r="T75">
        <v>3</v>
      </c>
      <c r="U75">
        <v>0</v>
      </c>
      <c r="V75">
        <v>20</v>
      </c>
      <c r="W75">
        <v>0</v>
      </c>
      <c r="X75" t="s">
        <v>135</v>
      </c>
    </row>
    <row r="76" spans="1:24" s="9" customFormat="1" x14ac:dyDescent="0.25">
      <c r="C76" s="9">
        <f t="shared" si="8"/>
        <v>75</v>
      </c>
      <c r="D76" s="9" t="s">
        <v>152</v>
      </c>
      <c r="E76" s="9" t="str">
        <f t="shared" si="9"/>
        <v>75 GICS-beta2m (beta3m)</v>
      </c>
      <c r="F76" s="9" t="s">
        <v>154</v>
      </c>
      <c r="G76" s="9" t="s">
        <v>25</v>
      </c>
      <c r="H76" s="9" t="s">
        <v>26</v>
      </c>
      <c r="K76" s="9" t="s">
        <v>129</v>
      </c>
      <c r="L76" s="9" t="s">
        <v>28</v>
      </c>
      <c r="M76" s="9">
        <v>0.1</v>
      </c>
      <c r="N76" s="9">
        <v>10</v>
      </c>
      <c r="O76" s="9">
        <v>4</v>
      </c>
      <c r="Q76" s="9" t="s">
        <v>27</v>
      </c>
      <c r="R76" s="9" t="s">
        <v>28</v>
      </c>
      <c r="S76" s="9" t="s">
        <v>153</v>
      </c>
      <c r="T76" s="9">
        <v>3</v>
      </c>
      <c r="U76" s="9">
        <v>0</v>
      </c>
      <c r="V76" s="9">
        <v>20</v>
      </c>
      <c r="W76" s="9">
        <v>0</v>
      </c>
      <c r="X76" s="9" t="s">
        <v>135</v>
      </c>
    </row>
    <row r="77" spans="1:24" x14ac:dyDescent="0.25">
      <c r="C77">
        <f t="shared" si="8"/>
        <v>76</v>
      </c>
      <c r="E77" t="str">
        <f t="shared" si="9"/>
        <v>76 GICS-beta3m (beta3m)</v>
      </c>
      <c r="F77" t="s">
        <v>164</v>
      </c>
      <c r="G77" t="s">
        <v>25</v>
      </c>
      <c r="H77" t="s">
        <v>26</v>
      </c>
      <c r="K77" t="s">
        <v>27</v>
      </c>
      <c r="L77" t="s">
        <v>28</v>
      </c>
      <c r="M77">
        <v>0.1</v>
      </c>
      <c r="N77">
        <v>10</v>
      </c>
      <c r="O77">
        <v>3</v>
      </c>
      <c r="Q77" t="s">
        <v>27</v>
      </c>
      <c r="R77" t="s">
        <v>28</v>
      </c>
      <c r="S77">
        <v>1</v>
      </c>
      <c r="T77">
        <v>3</v>
      </c>
      <c r="U77">
        <v>0</v>
      </c>
      <c r="V77">
        <v>20</v>
      </c>
      <c r="W77">
        <v>0</v>
      </c>
      <c r="X77" t="s">
        <v>161</v>
      </c>
    </row>
    <row r="78" spans="1:24" s="9" customFormat="1" x14ac:dyDescent="0.25">
      <c r="A78" s="9" t="s">
        <v>23</v>
      </c>
      <c r="B78" s="9" t="s">
        <v>23</v>
      </c>
      <c r="C78" s="9">
        <f t="shared" si="8"/>
        <v>77</v>
      </c>
      <c r="D78" s="12" t="s">
        <v>170</v>
      </c>
      <c r="E78" s="9" t="str">
        <f t="shared" si="9"/>
        <v>77 GICS-sh3m (beta3m)</v>
      </c>
      <c r="F78" s="9" t="s">
        <v>164</v>
      </c>
      <c r="G78" s="9" t="s">
        <v>25</v>
      </c>
      <c r="H78" s="9" t="s">
        <v>26</v>
      </c>
      <c r="K78" s="9" t="s">
        <v>34</v>
      </c>
      <c r="L78" s="9" t="s">
        <v>28</v>
      </c>
      <c r="M78" s="9">
        <v>0.1</v>
      </c>
      <c r="N78" s="9">
        <v>10</v>
      </c>
      <c r="O78" s="9">
        <v>3</v>
      </c>
      <c r="Q78" s="9" t="s">
        <v>27</v>
      </c>
      <c r="R78" s="9" t="s">
        <v>28</v>
      </c>
      <c r="S78" s="9">
        <v>1</v>
      </c>
      <c r="T78" s="9">
        <v>3</v>
      </c>
      <c r="U78" s="9">
        <v>0</v>
      </c>
      <c r="V78" s="9">
        <v>20</v>
      </c>
      <c r="W78" s="9">
        <v>0</v>
      </c>
      <c r="X78" s="9" t="s">
        <v>161</v>
      </c>
    </row>
    <row r="79" spans="1:24" x14ac:dyDescent="0.25">
      <c r="C79">
        <f t="shared" si="8"/>
        <v>78</v>
      </c>
      <c r="D79" t="s">
        <v>165</v>
      </c>
      <c r="E79" t="str">
        <f t="shared" si="9"/>
        <v>78 GICS-beta3m (sh3m)</v>
      </c>
      <c r="F79" t="s">
        <v>166</v>
      </c>
      <c r="G79" t="s">
        <v>25</v>
      </c>
      <c r="H79" t="s">
        <v>26</v>
      </c>
      <c r="K79" t="s">
        <v>27</v>
      </c>
      <c r="L79" t="s">
        <v>28</v>
      </c>
      <c r="M79">
        <v>0.1</v>
      </c>
      <c r="N79">
        <v>10</v>
      </c>
      <c r="O79">
        <v>4</v>
      </c>
      <c r="Q79" t="s">
        <v>34</v>
      </c>
      <c r="R79" t="s">
        <v>28</v>
      </c>
      <c r="S79">
        <v>1</v>
      </c>
      <c r="T79">
        <v>3</v>
      </c>
      <c r="U79">
        <v>0</v>
      </c>
      <c r="V79">
        <v>20</v>
      </c>
      <c r="W79">
        <v>0</v>
      </c>
      <c r="X79" t="s">
        <v>161</v>
      </c>
    </row>
    <row r="80" spans="1:24" s="9" customFormat="1" x14ac:dyDescent="0.25">
      <c r="C80" s="9">
        <f t="shared" si="8"/>
        <v>79</v>
      </c>
      <c r="D80" s="9" t="s">
        <v>165</v>
      </c>
      <c r="E80" s="9" t="str">
        <f t="shared" si="9"/>
        <v>79 GICS-sh3m (sh3m)</v>
      </c>
      <c r="F80" s="9" t="s">
        <v>166</v>
      </c>
      <c r="G80" s="9" t="s">
        <v>25</v>
      </c>
      <c r="H80" s="9" t="s">
        <v>26</v>
      </c>
      <c r="K80" s="9" t="s">
        <v>34</v>
      </c>
      <c r="L80" s="9" t="s">
        <v>28</v>
      </c>
      <c r="M80" s="9">
        <v>0.1</v>
      </c>
      <c r="N80" s="9">
        <v>10</v>
      </c>
      <c r="O80" s="9">
        <v>4</v>
      </c>
      <c r="Q80" s="9" t="s">
        <v>34</v>
      </c>
      <c r="R80" s="9" t="s">
        <v>28</v>
      </c>
      <c r="S80" s="9">
        <v>1</v>
      </c>
      <c r="T80" s="9">
        <v>3</v>
      </c>
      <c r="U80" s="9">
        <v>0</v>
      </c>
      <c r="V80" s="9">
        <v>20</v>
      </c>
      <c r="W80" s="9">
        <v>0</v>
      </c>
      <c r="X80" s="9" t="s">
        <v>161</v>
      </c>
    </row>
    <row r="81" spans="1:24" x14ac:dyDescent="0.25">
      <c r="C81">
        <f t="shared" si="8"/>
        <v>80</v>
      </c>
      <c r="D81" s="13" t="s">
        <v>171</v>
      </c>
      <c r="E81" t="str">
        <f t="shared" ref="E81:E86" si="10">TEXT(C81,"00") &amp; " Sector2-"&amp;K81&amp;" ("&amp;Q81&amp;IF(P81&lt;&gt;"","+ ","")&amp;P81&amp;")"</f>
        <v>80 Sector2-beta3m (beta3m+ Longi.beta3m&gt;2)</v>
      </c>
      <c r="F81" t="s">
        <v>162</v>
      </c>
      <c r="G81" t="s">
        <v>156</v>
      </c>
      <c r="H81" t="s">
        <v>26</v>
      </c>
      <c r="K81" t="s">
        <v>27</v>
      </c>
      <c r="L81" t="s">
        <v>28</v>
      </c>
      <c r="M81">
        <v>0.1</v>
      </c>
      <c r="N81">
        <v>10</v>
      </c>
      <c r="O81">
        <v>4</v>
      </c>
      <c r="P81" t="s">
        <v>163</v>
      </c>
      <c r="Q81" t="s">
        <v>27</v>
      </c>
      <c r="R81" t="s">
        <v>28</v>
      </c>
      <c r="S81">
        <v>1</v>
      </c>
      <c r="T81">
        <v>3</v>
      </c>
      <c r="U81">
        <v>0</v>
      </c>
      <c r="V81">
        <v>20</v>
      </c>
      <c r="W81">
        <v>0</v>
      </c>
      <c r="X81" t="s">
        <v>161</v>
      </c>
    </row>
    <row r="82" spans="1:24" x14ac:dyDescent="0.25">
      <c r="C82">
        <f t="shared" si="8"/>
        <v>81</v>
      </c>
      <c r="E82" t="str">
        <f t="shared" si="10"/>
        <v>81 Sector2-quot2050 (beta3m+ Longi.beta3m&gt;2)</v>
      </c>
      <c r="F82" t="s">
        <v>158</v>
      </c>
      <c r="G82" t="s">
        <v>156</v>
      </c>
      <c r="H82" t="s">
        <v>26</v>
      </c>
      <c r="K82" t="s">
        <v>45</v>
      </c>
      <c r="L82" t="s">
        <v>28</v>
      </c>
      <c r="M82">
        <v>0.1</v>
      </c>
      <c r="N82">
        <v>10</v>
      </c>
      <c r="O82">
        <v>4</v>
      </c>
      <c r="P82" t="s">
        <v>163</v>
      </c>
      <c r="Q82" t="s">
        <v>27</v>
      </c>
      <c r="R82" t="s">
        <v>28</v>
      </c>
      <c r="S82">
        <v>1</v>
      </c>
      <c r="T82">
        <v>3</v>
      </c>
      <c r="U82">
        <v>0</v>
      </c>
      <c r="V82">
        <v>20</v>
      </c>
      <c r="W82">
        <v>0</v>
      </c>
      <c r="X82" t="s">
        <v>135</v>
      </c>
    </row>
    <row r="83" spans="1:24" x14ac:dyDescent="0.25">
      <c r="C83">
        <f t="shared" si="8"/>
        <v>82</v>
      </c>
      <c r="E83" t="str">
        <f t="shared" si="10"/>
        <v>82 Sector2-beta3m (beta3m)</v>
      </c>
      <c r="F83" t="s">
        <v>157</v>
      </c>
      <c r="G83" t="s">
        <v>156</v>
      </c>
      <c r="H83" t="s">
        <v>26</v>
      </c>
      <c r="K83" t="s">
        <v>27</v>
      </c>
      <c r="L83" t="s">
        <v>28</v>
      </c>
      <c r="M83">
        <v>0.1</v>
      </c>
      <c r="N83">
        <v>10</v>
      </c>
      <c r="O83">
        <v>4</v>
      </c>
      <c r="Q83" t="s">
        <v>27</v>
      </c>
      <c r="R83" t="s">
        <v>28</v>
      </c>
      <c r="S83">
        <v>1</v>
      </c>
      <c r="T83">
        <v>3</v>
      </c>
      <c r="U83">
        <v>0</v>
      </c>
      <c r="V83">
        <v>20</v>
      </c>
      <c r="W83">
        <v>0</v>
      </c>
      <c r="X83" t="s">
        <v>135</v>
      </c>
    </row>
    <row r="84" spans="1:24" x14ac:dyDescent="0.25">
      <c r="C84">
        <f t="shared" si="8"/>
        <v>83</v>
      </c>
      <c r="E84" t="str">
        <f t="shared" si="10"/>
        <v>83 Sector2-quot2050 (beta3m)</v>
      </c>
      <c r="F84" t="s">
        <v>158</v>
      </c>
      <c r="G84" t="s">
        <v>156</v>
      </c>
      <c r="H84" t="s">
        <v>26</v>
      </c>
      <c r="K84" t="s">
        <v>45</v>
      </c>
      <c r="L84" t="s">
        <v>28</v>
      </c>
      <c r="M84">
        <v>0.1</v>
      </c>
      <c r="N84">
        <v>10</v>
      </c>
      <c r="O84">
        <v>4</v>
      </c>
      <c r="Q84" t="s">
        <v>27</v>
      </c>
      <c r="R84" t="s">
        <v>28</v>
      </c>
      <c r="S84">
        <v>1</v>
      </c>
      <c r="T84">
        <v>3</v>
      </c>
      <c r="U84">
        <v>0</v>
      </c>
      <c r="V84">
        <v>20</v>
      </c>
      <c r="W84">
        <v>0</v>
      </c>
      <c r="X84" t="s">
        <v>135</v>
      </c>
    </row>
    <row r="85" spans="1:24" x14ac:dyDescent="0.25">
      <c r="A85" t="s">
        <v>23</v>
      </c>
      <c r="C85">
        <f t="shared" si="8"/>
        <v>84</v>
      </c>
      <c r="E85" t="str">
        <f t="shared" si="10"/>
        <v>84 Sector2-sh3m (beta3m+ Longi.beta3m&gt;2)</v>
      </c>
      <c r="F85" t="s">
        <v>167</v>
      </c>
      <c r="G85" t="s">
        <v>156</v>
      </c>
      <c r="H85" t="s">
        <v>26</v>
      </c>
      <c r="K85" t="s">
        <v>34</v>
      </c>
      <c r="L85" t="s">
        <v>28</v>
      </c>
      <c r="M85">
        <v>0.1</v>
      </c>
      <c r="N85">
        <v>10</v>
      </c>
      <c r="O85">
        <v>4</v>
      </c>
      <c r="P85" t="s">
        <v>163</v>
      </c>
      <c r="Q85" t="s">
        <v>27</v>
      </c>
      <c r="R85" t="s">
        <v>28</v>
      </c>
      <c r="S85">
        <v>1</v>
      </c>
      <c r="T85">
        <v>3</v>
      </c>
      <c r="U85">
        <v>0</v>
      </c>
      <c r="V85">
        <v>20</v>
      </c>
      <c r="W85">
        <v>0</v>
      </c>
      <c r="X85" t="s">
        <v>135</v>
      </c>
    </row>
    <row r="86" spans="1:24" s="9" customFormat="1" x14ac:dyDescent="0.25">
      <c r="C86" s="9">
        <f t="shared" si="8"/>
        <v>85</v>
      </c>
      <c r="E86" s="9" t="str">
        <f t="shared" si="10"/>
        <v>85 Sector2-sh3m (beta3m)</v>
      </c>
      <c r="F86" s="9" t="s">
        <v>159</v>
      </c>
      <c r="G86" s="9" t="s">
        <v>156</v>
      </c>
      <c r="H86" s="9" t="s">
        <v>26</v>
      </c>
      <c r="K86" s="9" t="s">
        <v>34</v>
      </c>
      <c r="L86" s="9" t="s">
        <v>28</v>
      </c>
      <c r="M86" s="9">
        <v>0.1</v>
      </c>
      <c r="N86" s="9">
        <v>10</v>
      </c>
      <c r="O86" s="9">
        <v>4</v>
      </c>
      <c r="Q86" s="9" t="s">
        <v>27</v>
      </c>
      <c r="R86" s="9" t="s">
        <v>28</v>
      </c>
      <c r="S86" s="9">
        <v>1</v>
      </c>
      <c r="T86" s="9">
        <v>3</v>
      </c>
      <c r="U86" s="9">
        <v>0</v>
      </c>
      <c r="V86" s="9">
        <v>20</v>
      </c>
      <c r="W86" s="9">
        <v>0</v>
      </c>
      <c r="X86" s="9" t="s">
        <v>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2026-09-12T14:48:05Z</dcterms:modified>
</cp:coreProperties>
</file>