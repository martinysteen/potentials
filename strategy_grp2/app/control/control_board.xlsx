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C092C235-07C0-4378-8C86-020F3BE6A2FC}" xr6:coauthVersionLast="47" xr6:coauthVersionMax="47" xr10:uidLastSave="{00000000-0000-0000-0000-000000000000}"/>
  <bookViews>
    <workbookView xWindow="24630" yWindow="1680" windowWidth="31695" windowHeight="1441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4" i="1" l="1"/>
  <c r="C5" i="1" s="1"/>
  <c r="C6" i="1" s="1"/>
  <c r="E4" i="1"/>
  <c r="E2" i="1"/>
  <c r="C3" i="1"/>
  <c r="E3" i="1" s="1"/>
  <c r="E5" i="1" l="1"/>
  <c r="C7" i="1" l="1"/>
  <c r="E6" i="1"/>
  <c r="C8" i="1" l="1"/>
  <c r="E7" i="1"/>
  <c r="C9" i="1" l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E8" i="1"/>
  <c r="C21" i="1" l="1"/>
  <c r="E20" i="1"/>
  <c r="C22" i="1" l="1"/>
  <c r="C23" i="1" s="1"/>
  <c r="C24" i="1" s="1"/>
  <c r="C25" i="1" s="1"/>
  <c r="E21" i="1"/>
  <c r="C26" i="1" l="1"/>
  <c r="E25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C37" i="1" l="1"/>
  <c r="E36" i="1"/>
  <c r="C38" i="1" l="1"/>
  <c r="E37" i="1"/>
  <c r="C39" i="1" l="1"/>
  <c r="E38" i="1"/>
  <c r="C40" i="1" l="1"/>
  <c r="E39" i="1"/>
  <c r="C41" i="1" l="1"/>
  <c r="E40" i="1"/>
  <c r="C42" i="1" l="1"/>
  <c r="E41" i="1"/>
  <c r="C43" i="1" l="1"/>
  <c r="E42" i="1"/>
  <c r="C44" i="1" l="1"/>
  <c r="E43" i="1"/>
  <c r="C45" i="1" l="1"/>
  <c r="E44" i="1"/>
  <c r="C46" i="1" l="1"/>
  <c r="E45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E68" i="1" l="1"/>
  <c r="C69" i="1"/>
  <c r="E69" i="1" l="1"/>
  <c r="C70" i="1"/>
  <c r="E70" i="1" l="1"/>
  <c r="C71" i="1"/>
  <c r="E71" i="1" l="1"/>
  <c r="C72" i="1"/>
  <c r="E72" i="1" l="1"/>
  <c r="C73" i="1"/>
  <c r="E73" i="1" l="1"/>
  <c r="C74" i="1"/>
  <c r="C75" i="1" l="1"/>
  <c r="E75" i="1" s="1"/>
  <c r="E74" i="1"/>
</calcChain>
</file>

<file path=xl/sharedStrings.xml><?xml version="1.0" encoding="utf-8"?>
<sst xmlns="http://schemas.openxmlformats.org/spreadsheetml/2006/main" count="768" uniqueCount="157">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</sst>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0" xfId="0" applyFill="1"/>
    <xf numFmtId="0" fontId="0" fillId="10" borderId="1" xfId="0" applyFill="1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5"/>
  <sheetViews>
    <sheetView tabSelected="1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151</v>
      </c>
      <c r="D1" s="1" t="s">
        <v>152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B2" t="s">
        <v>23</v>
      </c>
      <c r="C2">
        <v>1</v>
      </c>
      <c r="E2" t="str">
        <f>TEXT(C2,"00") &amp; " GICS-"&amp;K2&amp;" ("&amp;Q2&amp;IF(P2&lt;&gt;"","+ ","")&amp;P2&amp;")"</f>
        <v>01 GICS-beta3m (beta3m+ Longi.beta3m&gt;2.5)</v>
      </c>
      <c r="F2" t="s">
        <v>24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142</v>
      </c>
    </row>
    <row r="3" spans="1:25" x14ac:dyDescent="0.25">
      <c r="A3" t="s">
        <v>23</v>
      </c>
      <c r="C3">
        <f>C2+1</f>
        <v>2</v>
      </c>
      <c r="E3" t="str">
        <f t="shared" ref="E3:E8" si="0">TEXT(C3,"00") &amp; " GICS-"&amp;K3&amp;" ("&amp;Q3&amp;IF(P3&lt;&gt;"","+ ","")&amp;P3&amp;")"</f>
        <v>02 GICS-beta3m (beta3m+ Longi.beta3m&gt;2.5)</v>
      </c>
      <c r="F3" t="s">
        <v>24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P3" t="s">
        <v>143</v>
      </c>
      <c r="Q3" t="s">
        <v>27</v>
      </c>
      <c r="R3" t="s">
        <v>28</v>
      </c>
      <c r="S3">
        <v>1</v>
      </c>
      <c r="T3">
        <v>3</v>
      </c>
      <c r="U3">
        <v>0</v>
      </c>
      <c r="V3">
        <v>20</v>
      </c>
      <c r="W3">
        <v>0</v>
      </c>
      <c r="X3" t="s">
        <v>135</v>
      </c>
    </row>
    <row r="4" spans="1:25" x14ac:dyDescent="0.25">
      <c r="A4" t="s">
        <v>23</v>
      </c>
      <c r="C4">
        <f t="shared" ref="C4:C6" si="1">C3+1</f>
        <v>3</v>
      </c>
      <c r="E4" t="str">
        <f t="shared" ref="E4" si="2">TEXT(C4,"00") &amp; " GICS-"&amp;K4&amp;" ("&amp;Q4&amp;IF(P4&lt;&gt;"","+ ","")&amp;P4&amp;")"</f>
        <v>03 GICS-beta3m (beta3m)</v>
      </c>
      <c r="F4" t="s">
        <v>24</v>
      </c>
      <c r="G4" t="s">
        <v>25</v>
      </c>
      <c r="H4" t="s">
        <v>26</v>
      </c>
      <c r="K4" t="s">
        <v>27</v>
      </c>
      <c r="L4" t="s">
        <v>28</v>
      </c>
      <c r="M4">
        <v>0.1</v>
      </c>
      <c r="N4">
        <v>10</v>
      </c>
      <c r="O4">
        <v>4</v>
      </c>
      <c r="Q4" t="s">
        <v>27</v>
      </c>
      <c r="R4" t="s">
        <v>28</v>
      </c>
      <c r="S4">
        <v>1</v>
      </c>
      <c r="T4">
        <v>5</v>
      </c>
      <c r="U4">
        <v>0</v>
      </c>
      <c r="V4">
        <v>20</v>
      </c>
      <c r="W4">
        <v>0</v>
      </c>
      <c r="X4" t="s">
        <v>148</v>
      </c>
    </row>
    <row r="5" spans="1:25" x14ac:dyDescent="0.25">
      <c r="C5">
        <f t="shared" si="1"/>
        <v>4</v>
      </c>
      <c r="E5" t="str">
        <f t="shared" si="0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t="s">
        <v>142</v>
      </c>
    </row>
    <row r="6" spans="1:25" x14ac:dyDescent="0.25">
      <c r="C6">
        <f t="shared" si="1"/>
        <v>5</v>
      </c>
      <c r="E6" t="str">
        <f t="shared" si="0"/>
        <v>05 GICS-rank (beta3m+ Longi.beta3m&gt;3)</v>
      </c>
      <c r="F6" t="s">
        <v>30</v>
      </c>
      <c r="G6" t="s">
        <v>25</v>
      </c>
      <c r="H6" t="s">
        <v>26</v>
      </c>
      <c r="K6" t="s">
        <v>32</v>
      </c>
      <c r="L6" t="s">
        <v>33</v>
      </c>
      <c r="M6">
        <v>0.1</v>
      </c>
      <c r="N6">
        <v>10</v>
      </c>
      <c r="O6">
        <v>4</v>
      </c>
      <c r="P6" t="s">
        <v>144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s="10" t="s">
        <v>135</v>
      </c>
    </row>
    <row r="7" spans="1:25" x14ac:dyDescent="0.25">
      <c r="A7" t="s">
        <v>23</v>
      </c>
      <c r="C7">
        <f t="shared" ref="C6:C68" si="3">C6+1</f>
        <v>6</v>
      </c>
      <c r="E7" t="str">
        <f t="shared" si="0"/>
        <v>06 GICS-PdivMA20 (beta3m)</v>
      </c>
      <c r="F7" t="s">
        <v>30</v>
      </c>
      <c r="G7" t="s">
        <v>25</v>
      </c>
      <c r="H7" t="s">
        <v>26</v>
      </c>
      <c r="K7" t="s">
        <v>31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29</v>
      </c>
    </row>
    <row r="8" spans="1:25" x14ac:dyDescent="0.25">
      <c r="C8">
        <f t="shared" si="3"/>
        <v>7</v>
      </c>
      <c r="E8" t="str">
        <f t="shared" si="0"/>
        <v>07 GICS-sh3m (beta3m)</v>
      </c>
      <c r="F8" t="s">
        <v>30</v>
      </c>
      <c r="G8" t="s">
        <v>25</v>
      </c>
      <c r="H8" t="s">
        <v>26</v>
      </c>
      <c r="K8" t="s">
        <v>34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">
        <v>35</v>
      </c>
      <c r="G9" t="s">
        <v>36</v>
      </c>
      <c r="H9" t="s">
        <v>26</v>
      </c>
      <c r="K9" t="s">
        <v>27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37</v>
      </c>
      <c r="G10" t="s">
        <v>36</v>
      </c>
      <c r="H10" t="s">
        <v>26</v>
      </c>
      <c r="K10" t="s">
        <v>38</v>
      </c>
      <c r="L10" t="s">
        <v>33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39</v>
      </c>
      <c r="G11" t="s">
        <v>36</v>
      </c>
      <c r="H11" t="s">
        <v>26</v>
      </c>
      <c r="K11" t="s">
        <v>31</v>
      </c>
      <c r="L11" t="s">
        <v>28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40</v>
      </c>
      <c r="G12" t="s">
        <v>36</v>
      </c>
      <c r="H12" t="s">
        <v>26</v>
      </c>
      <c r="K12" t="s">
        <v>41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42</v>
      </c>
      <c r="G13" t="s">
        <v>36</v>
      </c>
      <c r="H13" t="s">
        <v>26</v>
      </c>
      <c r="K13" t="s">
        <v>43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44</v>
      </c>
      <c r="G14" t="s">
        <v>36</v>
      </c>
      <c r="H14" t="s">
        <v>26</v>
      </c>
      <c r="K14" t="s">
        <v>45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46</v>
      </c>
      <c r="G15" t="s">
        <v>36</v>
      </c>
      <c r="H15" t="s">
        <v>26</v>
      </c>
      <c r="K15" t="s">
        <v>32</v>
      </c>
      <c r="L15" t="s">
        <v>33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47</v>
      </c>
      <c r="G16" t="s">
        <v>36</v>
      </c>
      <c r="H16" t="s">
        <v>26</v>
      </c>
      <c r="K16" t="s">
        <v>48</v>
      </c>
      <c r="L16" t="s">
        <v>28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49</v>
      </c>
      <c r="G17" t="s">
        <v>36</v>
      </c>
      <c r="H17" t="s">
        <v>26</v>
      </c>
      <c r="K17" t="s">
        <v>34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50</v>
      </c>
      <c r="G18" t="s">
        <v>36</v>
      </c>
      <c r="H18" t="s">
        <v>26</v>
      </c>
      <c r="K18" t="s">
        <v>51</v>
      </c>
      <c r="L18" t="s">
        <v>33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52</v>
      </c>
      <c r="G19" t="s">
        <v>36</v>
      </c>
      <c r="H19" t="s">
        <v>26</v>
      </c>
      <c r="K19" t="s">
        <v>53</v>
      </c>
      <c r="L19" t="s">
        <v>28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tr">
        <f t="shared" ref="E20:E21" si="4">TEXT(C20,"00") &amp; " GICS-"&amp;K20&amp;" ("&amp;Q20&amp;IF(P20&lt;&gt;"","+ ","")&amp;P20&amp;")"</f>
        <v>19 GICS-rsi (beta3m)</v>
      </c>
      <c r="G20" t="s">
        <v>25</v>
      </c>
      <c r="H20" t="s">
        <v>26</v>
      </c>
      <c r="K20" t="s">
        <v>48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si="4"/>
        <v>20 GICS-spr100d (beta3m)</v>
      </c>
      <c r="G21" t="s">
        <v>25</v>
      </c>
      <c r="H21" t="s">
        <v>26</v>
      </c>
      <c r="K21" t="s">
        <v>51</v>
      </c>
      <c r="L21" t="s">
        <v>33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">
        <v>54</v>
      </c>
      <c r="G22" t="s">
        <v>55</v>
      </c>
      <c r="H22" t="s">
        <v>26</v>
      </c>
      <c r="K22" t="s">
        <v>45</v>
      </c>
      <c r="L22" t="s">
        <v>28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56</v>
      </c>
      <c r="G23" t="s">
        <v>55</v>
      </c>
      <c r="H23" t="s">
        <v>26</v>
      </c>
      <c r="K23" t="s">
        <v>34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57</v>
      </c>
      <c r="G24" t="s">
        <v>55</v>
      </c>
      <c r="H24" t="s">
        <v>26</v>
      </c>
      <c r="K24" t="s">
        <v>51</v>
      </c>
      <c r="L24" t="s">
        <v>33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tr">
        <f t="shared" ref="E25:E70" si="5">TEXT(C25,"00") &amp; " GICS-"&amp;K25&amp;" ("&amp;Q25&amp;IF(P25&lt;&gt;"","+ ","")&amp;P25&amp;")"</f>
        <v>24 GICS-beta6m (beta6m)</v>
      </c>
      <c r="F25" t="s">
        <v>127</v>
      </c>
      <c r="G25" t="s">
        <v>25</v>
      </c>
      <c r="H25" t="s">
        <v>26</v>
      </c>
      <c r="K25" t="s">
        <v>126</v>
      </c>
      <c r="L25" t="s">
        <v>28</v>
      </c>
      <c r="M25">
        <v>0.1</v>
      </c>
      <c r="N25">
        <v>10</v>
      </c>
      <c r="O25">
        <v>4</v>
      </c>
      <c r="Q25" t="s">
        <v>126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si="5"/>
        <v>25 GICS-beta3m (beta6m)</v>
      </c>
      <c r="F26" t="s">
        <v>127</v>
      </c>
      <c r="G26" t="s">
        <v>25</v>
      </c>
      <c r="H26" t="s">
        <v>26</v>
      </c>
      <c r="K26" t="s">
        <v>27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GICS-beta6m (beta3m)</v>
      </c>
      <c r="F27" t="s">
        <v>127</v>
      </c>
      <c r="G27" t="s">
        <v>25</v>
      </c>
      <c r="H27" t="s">
        <v>26</v>
      </c>
      <c r="K27" t="s">
        <v>126</v>
      </c>
      <c r="L27" t="s">
        <v>28</v>
      </c>
      <c r="M27">
        <v>0.1</v>
      </c>
      <c r="N27">
        <v>10</v>
      </c>
      <c r="O27">
        <v>4</v>
      </c>
      <c r="Q27" t="s">
        <v>27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GICS-beta1m (beta1m)</v>
      </c>
      <c r="F28" t="s">
        <v>130</v>
      </c>
      <c r="G28" t="s">
        <v>25</v>
      </c>
      <c r="H28" t="s">
        <v>26</v>
      </c>
      <c r="K28" t="s">
        <v>128</v>
      </c>
      <c r="L28" t="s">
        <v>28</v>
      </c>
      <c r="M28">
        <v>0.1</v>
      </c>
      <c r="N28">
        <v>10</v>
      </c>
      <c r="O28">
        <v>4</v>
      </c>
      <c r="Q28" t="s">
        <v>128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GICS-beta2m (beta2m)</v>
      </c>
      <c r="F29" t="s">
        <v>130</v>
      </c>
      <c r="G29" t="s">
        <v>25</v>
      </c>
      <c r="H29" t="s">
        <v>26</v>
      </c>
      <c r="K29" t="s">
        <v>129</v>
      </c>
      <c r="L29" t="s">
        <v>28</v>
      </c>
      <c r="M29">
        <v>0.1</v>
      </c>
      <c r="N29">
        <v>10</v>
      </c>
      <c r="O29">
        <v>4</v>
      </c>
      <c r="Q29" t="s">
        <v>129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GICS-beta3m (beta3m+ Longi.rank&lt;1000)</v>
      </c>
      <c r="G30" t="s">
        <v>131</v>
      </c>
      <c r="H30" t="s">
        <v>26</v>
      </c>
      <c r="K30" t="s">
        <v>27</v>
      </c>
      <c r="L30" t="s">
        <v>28</v>
      </c>
      <c r="M30">
        <v>0.1</v>
      </c>
      <c r="N30">
        <v>5</v>
      </c>
      <c r="O30">
        <v>4</v>
      </c>
      <c r="P30" t="s">
        <v>132</v>
      </c>
      <c r="Q30" t="s">
        <v>27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GICS-PdivMA20 (beta3m+ Longi.rank&lt;1000)</v>
      </c>
      <c r="F31" t="s">
        <v>133</v>
      </c>
      <c r="G31" t="s">
        <v>131</v>
      </c>
      <c r="H31" t="s">
        <v>26</v>
      </c>
      <c r="K31" t="s">
        <v>31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GICS-rank (beta3m+ Longi.rank&lt;1000)</v>
      </c>
      <c r="F32" t="s">
        <v>141</v>
      </c>
      <c r="G32" t="s">
        <v>131</v>
      </c>
      <c r="H32" t="s">
        <v>26</v>
      </c>
      <c r="K32" t="s">
        <v>32</v>
      </c>
      <c r="L32" t="s">
        <v>33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135</v>
      </c>
    </row>
    <row r="33" spans="3:24" x14ac:dyDescent="0.25">
      <c r="C33">
        <f t="shared" si="3"/>
        <v>32</v>
      </c>
      <c r="E33" t="str">
        <f t="shared" si="5"/>
        <v>32 GICS-sh3m (beta3m+ Longi.rank&lt;1000)</v>
      </c>
      <c r="G33" t="s">
        <v>131</v>
      </c>
      <c r="H33" t="s">
        <v>26</v>
      </c>
      <c r="K33" t="s">
        <v>34</v>
      </c>
      <c r="L33" t="s">
        <v>28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29</v>
      </c>
    </row>
    <row r="34" spans="3:24" x14ac:dyDescent="0.25">
      <c r="C34">
        <f t="shared" si="3"/>
        <v>33</v>
      </c>
      <c r="E34" t="str">
        <f t="shared" si="5"/>
        <v>33 GICS-rsi (beta3m+ Longi.rank&lt;1000)</v>
      </c>
      <c r="G34" t="s">
        <v>131</v>
      </c>
      <c r="H34" t="s">
        <v>26</v>
      </c>
      <c r="K34" t="s">
        <v>48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GICS-spr100d (beta3m+ Longi.rank&lt;1000)</v>
      </c>
      <c r="G35" t="s">
        <v>131</v>
      </c>
      <c r="H35" t="s">
        <v>26</v>
      </c>
      <c r="K35" t="s">
        <v>51</v>
      </c>
      <c r="L35" t="s">
        <v>33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GICS-rank (beta3m)</v>
      </c>
      <c r="G36" t="s">
        <v>131</v>
      </c>
      <c r="H36" t="s">
        <v>26</v>
      </c>
      <c r="K36" t="s">
        <v>32</v>
      </c>
      <c r="L36" t="s">
        <v>33</v>
      </c>
      <c r="M36">
        <v>0.1</v>
      </c>
      <c r="N36">
        <v>5</v>
      </c>
      <c r="O36">
        <v>4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135</v>
      </c>
    </row>
    <row r="37" spans="3:24" x14ac:dyDescent="0.25">
      <c r="C37">
        <f t="shared" si="3"/>
        <v>36</v>
      </c>
      <c r="E37" t="str">
        <f t="shared" si="5"/>
        <v>36 GICS-rank (beta3m+ Longi.per1d&gt;0)</v>
      </c>
      <c r="F37" t="s">
        <v>141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P37" t="s">
        <v>136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Longi.regr20d&gt;0)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137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Longi.regr50d&gt;0)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138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Longi.median_10d&lt;1100)</v>
      </c>
      <c r="F40" t="s">
        <v>141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139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Longi.median_10d&lt;1000)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140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GICS-PdivMA20 (beta3m)</v>
      </c>
      <c r="G42" t="s">
        <v>131</v>
      </c>
      <c r="H42" t="s">
        <v>26</v>
      </c>
      <c r="K42" t="s">
        <v>31</v>
      </c>
      <c r="L42" t="s">
        <v>28</v>
      </c>
      <c r="M42">
        <v>0.1</v>
      </c>
      <c r="N42">
        <v>5</v>
      </c>
      <c r="O42">
        <v>4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29</v>
      </c>
    </row>
    <row r="43" spans="3:24" s="11" customFormat="1" x14ac:dyDescent="0.25">
      <c r="C43" s="11">
        <f t="shared" si="3"/>
        <v>42</v>
      </c>
      <c r="E43" s="11" t="str">
        <f t="shared" si="5"/>
        <v>42 GICS-rank (beta3m)</v>
      </c>
      <c r="F43" s="11" t="s">
        <v>145</v>
      </c>
      <c r="G43" s="11" t="s">
        <v>131</v>
      </c>
      <c r="H43" s="11" t="s">
        <v>26</v>
      </c>
      <c r="K43" s="11" t="s">
        <v>32</v>
      </c>
      <c r="L43" s="11" t="s">
        <v>33</v>
      </c>
      <c r="M43" s="11">
        <v>0.1</v>
      </c>
      <c r="N43" s="11">
        <v>5</v>
      </c>
      <c r="O43" s="11">
        <v>4</v>
      </c>
      <c r="Q43" s="11" t="s">
        <v>27</v>
      </c>
      <c r="R43" s="11" t="s">
        <v>28</v>
      </c>
      <c r="S43" s="11">
        <v>1</v>
      </c>
      <c r="T43" s="11">
        <v>3</v>
      </c>
      <c r="U43" s="11">
        <v>0</v>
      </c>
      <c r="V43" s="11">
        <v>20</v>
      </c>
      <c r="W43" s="11">
        <v>0</v>
      </c>
      <c r="X43" s="11" t="s">
        <v>135</v>
      </c>
    </row>
    <row r="44" spans="3:24" x14ac:dyDescent="0.25">
      <c r="C44">
        <f t="shared" si="3"/>
        <v>43</v>
      </c>
      <c r="E44" t="str">
        <f t="shared" si="5"/>
        <v>43 GICS-rank (PdivMA20+ Longi.rank&lt;1000)</v>
      </c>
      <c r="F44" t="s">
        <v>130</v>
      </c>
      <c r="G44" t="s">
        <v>131</v>
      </c>
      <c r="H44" t="s">
        <v>26</v>
      </c>
      <c r="K44" t="s">
        <v>32</v>
      </c>
      <c r="L44" t="s">
        <v>33</v>
      </c>
      <c r="M44">
        <v>0.1</v>
      </c>
      <c r="N44">
        <v>5</v>
      </c>
      <c r="O44">
        <v>4</v>
      </c>
      <c r="P44" t="s">
        <v>132</v>
      </c>
      <c r="Q44" t="s">
        <v>31</v>
      </c>
      <c r="R44" t="s">
        <v>28</v>
      </c>
      <c r="S44">
        <v>1</v>
      </c>
      <c r="T44">
        <v>3</v>
      </c>
      <c r="U44">
        <v>0</v>
      </c>
      <c r="V44">
        <v>20</v>
      </c>
      <c r="W44">
        <v>0</v>
      </c>
      <c r="X44" t="s">
        <v>29</v>
      </c>
    </row>
    <row r="45" spans="3:24" x14ac:dyDescent="0.25">
      <c r="C45">
        <f t="shared" si="3"/>
        <v>44</v>
      </c>
      <c r="E45" t="str">
        <f t="shared" si="5"/>
        <v>44 GICS-rank (PdivMA20)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(beta3m+ Longi.rank&lt;1000)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0.2</v>
      </c>
      <c r="N46">
        <v>5</v>
      </c>
      <c r="O46">
        <v>4</v>
      </c>
      <c r="P46" t="s">
        <v>132</v>
      </c>
      <c r="Q46" t="s">
        <v>27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(PdivMA20+ Longi.rank&lt;1000)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0.1</v>
      </c>
      <c r="N48">
        <v>3</v>
      </c>
      <c r="O48">
        <v>4</v>
      </c>
      <c r="P48" t="s">
        <v>132</v>
      </c>
      <c r="Q48" t="s">
        <v>31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(beta3m+ Longi.rank&lt;1000)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P50" t="s">
        <v>132</v>
      </c>
      <c r="Q50" t="s">
        <v>27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(rsi)</v>
      </c>
      <c r="F52" t="s">
        <v>130</v>
      </c>
      <c r="G52" t="s">
        <v>25</v>
      </c>
      <c r="H52" t="s">
        <v>26</v>
      </c>
      <c r="K52" t="s">
        <v>32</v>
      </c>
      <c r="L52" t="s">
        <v>33</v>
      </c>
      <c r="M52">
        <v>0.1</v>
      </c>
      <c r="N52">
        <v>10</v>
      </c>
      <c r="O52">
        <v>4</v>
      </c>
      <c r="Q52" t="s">
        <v>48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135</v>
      </c>
    </row>
    <row r="53" spans="3:24" x14ac:dyDescent="0.25">
      <c r="C53">
        <f t="shared" si="3"/>
        <v>52</v>
      </c>
      <c r="E53" t="str">
        <f t="shared" si="5"/>
        <v>52 GICS-rank (rank)</v>
      </c>
      <c r="F53" t="s">
        <v>134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32</v>
      </c>
      <c r="R53" t="s">
        <v>33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(rsi)</v>
      </c>
      <c r="F54" t="s">
        <v>130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48</v>
      </c>
      <c r="R54" t="s">
        <v>28</v>
      </c>
      <c r="S54">
        <v>-1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s="9" customFormat="1" x14ac:dyDescent="0.25">
      <c r="C55" s="9">
        <f t="shared" si="3"/>
        <v>54</v>
      </c>
      <c r="E55" s="9" t="str">
        <f t="shared" si="5"/>
        <v>54 GICS-rank (rank)</v>
      </c>
      <c r="F55" s="9" t="s">
        <v>134</v>
      </c>
      <c r="G55" s="9" t="s">
        <v>25</v>
      </c>
      <c r="H55" s="9" t="s">
        <v>26</v>
      </c>
      <c r="K55" s="9" t="s">
        <v>32</v>
      </c>
      <c r="L55" s="9" t="s">
        <v>33</v>
      </c>
      <c r="M55" s="9">
        <v>0.1</v>
      </c>
      <c r="N55" s="9">
        <v>10</v>
      </c>
      <c r="O55" s="9">
        <v>4</v>
      </c>
      <c r="Q55" s="9" t="s">
        <v>32</v>
      </c>
      <c r="R55" s="9" t="s">
        <v>33</v>
      </c>
      <c r="S55" s="9">
        <v>-1</v>
      </c>
      <c r="T55" s="9">
        <v>3</v>
      </c>
      <c r="U55" s="9">
        <v>0</v>
      </c>
      <c r="V55" s="9">
        <v>20</v>
      </c>
      <c r="W55" s="9">
        <v>0</v>
      </c>
      <c r="X55" t="s">
        <v>135</v>
      </c>
    </row>
    <row r="56" spans="3:24" x14ac:dyDescent="0.25">
      <c r="C56">
        <f t="shared" si="3"/>
        <v>55</v>
      </c>
      <c r="E56" t="str">
        <f t="shared" si="5"/>
        <v>55 GICS-beta3m (beta3m+ Longi.beta3m&gt;2.5)</v>
      </c>
      <c r="F56" t="s">
        <v>146</v>
      </c>
      <c r="G56" t="s">
        <v>25</v>
      </c>
      <c r="H56" t="s">
        <v>26</v>
      </c>
      <c r="K56" t="s">
        <v>27</v>
      </c>
      <c r="L56" t="s">
        <v>28</v>
      </c>
      <c r="M56">
        <v>0.1</v>
      </c>
      <c r="N56">
        <v>10</v>
      </c>
      <c r="O56">
        <v>4</v>
      </c>
      <c r="P56" t="s">
        <v>143</v>
      </c>
      <c r="Q56" t="s">
        <v>27</v>
      </c>
      <c r="R56" t="s">
        <v>28</v>
      </c>
      <c r="S56">
        <v>1</v>
      </c>
      <c r="T56">
        <v>1</v>
      </c>
      <c r="U56">
        <v>0</v>
      </c>
      <c r="V56">
        <v>20</v>
      </c>
      <c r="W56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146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5</v>
      </c>
      <c r="U57">
        <v>0</v>
      </c>
      <c r="V57">
        <v>20</v>
      </c>
      <c r="W57">
        <v>0</v>
      </c>
      <c r="X57" t="s">
        <v>135</v>
      </c>
    </row>
    <row r="58" spans="3:24" s="9" customFormat="1" x14ac:dyDescent="0.25">
      <c r="C58" s="9">
        <f t="shared" si="3"/>
        <v>57</v>
      </c>
      <c r="E58" s="9" t="str">
        <f t="shared" si="5"/>
        <v>57 GICS-beta3m (beta3m+ Longi.beta3m&gt;2.5)</v>
      </c>
      <c r="F58" s="9" t="s">
        <v>146</v>
      </c>
      <c r="G58" s="9" t="s">
        <v>25</v>
      </c>
      <c r="H58" s="9" t="s">
        <v>26</v>
      </c>
      <c r="K58" s="9" t="s">
        <v>27</v>
      </c>
      <c r="L58" s="9" t="s">
        <v>28</v>
      </c>
      <c r="M58" s="9">
        <v>0.1</v>
      </c>
      <c r="N58" s="9">
        <v>10</v>
      </c>
      <c r="O58" s="9">
        <v>4</v>
      </c>
      <c r="P58" s="9" t="s">
        <v>143</v>
      </c>
      <c r="Q58" s="9" t="s">
        <v>27</v>
      </c>
      <c r="R58" s="9" t="s">
        <v>28</v>
      </c>
      <c r="S58" s="9">
        <v>1</v>
      </c>
      <c r="T58" s="9">
        <v>10</v>
      </c>
      <c r="U58" s="9">
        <v>0</v>
      </c>
      <c r="V58" s="9">
        <v>20</v>
      </c>
      <c r="W58" s="9">
        <v>0</v>
      </c>
      <c r="X58" s="9" t="s">
        <v>135</v>
      </c>
    </row>
    <row r="59" spans="3:24" x14ac:dyDescent="0.25">
      <c r="C59">
        <f t="shared" si="3"/>
        <v>58</v>
      </c>
      <c r="E59" t="str">
        <f t="shared" si="5"/>
        <v>58 GICS-beta3m (beta3m+ Longi.beta3m&gt;2.5)</v>
      </c>
      <c r="F59" t="s">
        <v>147</v>
      </c>
      <c r="G59" t="s">
        <v>25</v>
      </c>
      <c r="H59" t="s">
        <v>26</v>
      </c>
      <c r="K59" t="s">
        <v>27</v>
      </c>
      <c r="L59" t="s">
        <v>28</v>
      </c>
      <c r="M59">
        <v>0.1</v>
      </c>
      <c r="N59">
        <v>10</v>
      </c>
      <c r="O59">
        <v>6</v>
      </c>
      <c r="P59" t="s">
        <v>143</v>
      </c>
      <c r="Q59" t="s">
        <v>27</v>
      </c>
      <c r="R59" t="s">
        <v>28</v>
      </c>
      <c r="S59">
        <v>1</v>
      </c>
      <c r="T59">
        <v>3</v>
      </c>
      <c r="U59">
        <v>0</v>
      </c>
      <c r="V59">
        <v>20</v>
      </c>
      <c r="W59">
        <v>0</v>
      </c>
      <c r="X5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147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8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s="9" customFormat="1" x14ac:dyDescent="0.25">
      <c r="C61" s="9">
        <f t="shared" si="3"/>
        <v>60</v>
      </c>
      <c r="E61" s="9" t="str">
        <f t="shared" si="5"/>
        <v>60 GICS-beta3m (beta3m+ Longi.beta3m&gt;2.5)</v>
      </c>
      <c r="F61" s="9" t="s">
        <v>147</v>
      </c>
      <c r="G61" s="9" t="s">
        <v>25</v>
      </c>
      <c r="H61" s="9" t="s">
        <v>26</v>
      </c>
      <c r="K61" s="9" t="s">
        <v>27</v>
      </c>
      <c r="L61" s="9" t="s">
        <v>28</v>
      </c>
      <c r="M61" s="9">
        <v>0.1</v>
      </c>
      <c r="N61" s="9">
        <v>10</v>
      </c>
      <c r="O61" s="9">
        <v>10</v>
      </c>
      <c r="P61" s="9" t="s">
        <v>143</v>
      </c>
      <c r="Q61" s="9" t="s">
        <v>27</v>
      </c>
      <c r="R61" s="9" t="s">
        <v>28</v>
      </c>
      <c r="S61" s="9">
        <v>1</v>
      </c>
      <c r="T61" s="9">
        <v>3</v>
      </c>
      <c r="U61" s="9">
        <v>0</v>
      </c>
      <c r="V61" s="9">
        <v>20</v>
      </c>
      <c r="W61" s="9">
        <v>0</v>
      </c>
      <c r="X61" s="9" t="s">
        <v>135</v>
      </c>
    </row>
    <row r="62" spans="3:24" x14ac:dyDescent="0.25">
      <c r="C62">
        <f t="shared" si="3"/>
        <v>61</v>
      </c>
      <c r="E62" t="str">
        <f t="shared" si="5"/>
        <v>61 GICS-beta3m (beta3m+ Longi.rank&lt;1000)</v>
      </c>
      <c r="F62" t="s">
        <v>150</v>
      </c>
      <c r="G62" t="s">
        <v>25</v>
      </c>
      <c r="H62" t="s">
        <v>26</v>
      </c>
      <c r="K62" t="s">
        <v>27</v>
      </c>
      <c r="L62" t="s">
        <v>28</v>
      </c>
      <c r="M62">
        <v>0.15</v>
      </c>
      <c r="N62">
        <v>10</v>
      </c>
      <c r="O62">
        <v>4</v>
      </c>
      <c r="P62" t="s">
        <v>132</v>
      </c>
      <c r="Q62" t="s">
        <v>27</v>
      </c>
      <c r="R62" t="s">
        <v>28</v>
      </c>
      <c r="S62">
        <v>1</v>
      </c>
      <c r="T62">
        <v>3</v>
      </c>
      <c r="U62">
        <v>0</v>
      </c>
      <c r="V62">
        <v>20</v>
      </c>
      <c r="W62">
        <v>0</v>
      </c>
      <c r="X62" t="s">
        <v>148</v>
      </c>
    </row>
    <row r="63" spans="3:24" x14ac:dyDescent="0.25">
      <c r="C63">
        <f t="shared" si="3"/>
        <v>62</v>
      </c>
      <c r="E63" t="str">
        <f t="shared" si="5"/>
        <v>62 GICS-beta3m (beta3m+ Longi.beta3m&gt;2.5)</v>
      </c>
      <c r="F63" t="s">
        <v>150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143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148</v>
      </c>
    </row>
    <row r="64" spans="3:24" x14ac:dyDescent="0.25">
      <c r="C64">
        <f t="shared" si="3"/>
        <v>63</v>
      </c>
      <c r="E64" t="str">
        <f t="shared" si="5"/>
        <v>63 GICS-beta3m (beta3m+ Longi.rank&lt;1000)</v>
      </c>
      <c r="F64" t="s">
        <v>150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132</v>
      </c>
      <c r="Q64" t="s">
        <v>27</v>
      </c>
      <c r="R64" t="s">
        <v>28</v>
      </c>
      <c r="S64">
        <v>1</v>
      </c>
      <c r="T64">
        <v>3</v>
      </c>
      <c r="U64">
        <v>-20</v>
      </c>
      <c r="V64">
        <v>20</v>
      </c>
      <c r="W64">
        <v>0</v>
      </c>
      <c r="X64" t="s">
        <v>148</v>
      </c>
    </row>
    <row r="65" spans="3:24" x14ac:dyDescent="0.25">
      <c r="C65">
        <f t="shared" si="3"/>
        <v>64</v>
      </c>
      <c r="E65" t="str">
        <f t="shared" si="5"/>
        <v>64 GICS-beta3m (beta3m+ Longi.beta3m&gt;2.5)</v>
      </c>
      <c r="F65" t="s">
        <v>150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143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148</v>
      </c>
    </row>
    <row r="66" spans="3:24" x14ac:dyDescent="0.25">
      <c r="C66">
        <f t="shared" si="3"/>
        <v>65</v>
      </c>
      <c r="E66" t="str">
        <f t="shared" si="5"/>
        <v>65 GICS-beta3m (beta3m)</v>
      </c>
      <c r="F66" t="s">
        <v>150</v>
      </c>
      <c r="G66" t="s">
        <v>25</v>
      </c>
      <c r="H66" t="s">
        <v>26</v>
      </c>
      <c r="K66" t="s">
        <v>27</v>
      </c>
      <c r="L66" t="s">
        <v>28</v>
      </c>
      <c r="M66">
        <v>0.1</v>
      </c>
      <c r="N66">
        <v>10</v>
      </c>
      <c r="O66">
        <v>4</v>
      </c>
      <c r="Q66" t="s">
        <v>27</v>
      </c>
      <c r="R66" t="s">
        <v>28</v>
      </c>
      <c r="S66">
        <v>1</v>
      </c>
      <c r="T66">
        <v>3</v>
      </c>
      <c r="U66">
        <v>0</v>
      </c>
      <c r="V66">
        <v>20</v>
      </c>
      <c r="W66">
        <v>0</v>
      </c>
      <c r="X66" t="s">
        <v>148</v>
      </c>
    </row>
    <row r="67" spans="3:24" x14ac:dyDescent="0.25">
      <c r="C67">
        <f t="shared" si="3"/>
        <v>66</v>
      </c>
      <c r="E67" t="str">
        <f t="shared" si="5"/>
        <v>66 GICS-beta3m (beta3m+ Longi.rank&lt;1000 .and. Longi.beta3m&gt;2.5)</v>
      </c>
      <c r="F67" t="s">
        <v>150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P67" t="s">
        <v>149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148</v>
      </c>
    </row>
    <row r="68" spans="3:24" s="9" customFormat="1" x14ac:dyDescent="0.25">
      <c r="C68" s="9">
        <f t="shared" si="3"/>
        <v>67</v>
      </c>
      <c r="E68" s="9" t="str">
        <f t="shared" si="5"/>
        <v>67 GICS-beta3m (beta3m+ Longi.rank&lt;1000 .and. Longi.beta3m&gt;2.5)</v>
      </c>
      <c r="F68" s="9" t="s">
        <v>150</v>
      </c>
      <c r="G68" s="9" t="s">
        <v>25</v>
      </c>
      <c r="H68" s="9" t="s">
        <v>26</v>
      </c>
      <c r="K68" s="9" t="s">
        <v>27</v>
      </c>
      <c r="L68" s="9" t="s">
        <v>28</v>
      </c>
      <c r="M68" s="9">
        <v>0.1</v>
      </c>
      <c r="N68" s="9">
        <v>10</v>
      </c>
      <c r="O68" s="9">
        <v>5</v>
      </c>
      <c r="P68" s="9" t="s">
        <v>149</v>
      </c>
      <c r="Q68" s="9" t="s">
        <v>27</v>
      </c>
      <c r="R68" s="9" t="s">
        <v>28</v>
      </c>
      <c r="S68" s="9">
        <v>1</v>
      </c>
      <c r="T68" s="9">
        <v>3</v>
      </c>
      <c r="U68" s="9">
        <v>0</v>
      </c>
      <c r="V68" s="9">
        <v>20</v>
      </c>
      <c r="W68" s="9">
        <v>0</v>
      </c>
      <c r="X68" s="9" t="s">
        <v>148</v>
      </c>
    </row>
    <row r="69" spans="3:24" x14ac:dyDescent="0.25">
      <c r="C69">
        <f>C68+1</f>
        <v>68</v>
      </c>
      <c r="D69" t="s">
        <v>153</v>
      </c>
      <c r="E69" t="str">
        <f t="shared" si="5"/>
        <v>68 GICS-beta2m (beta3m+ Longi.beta3m&gt;2.5)</v>
      </c>
      <c r="F69" t="s">
        <v>156</v>
      </c>
      <c r="G69" t="s">
        <v>25</v>
      </c>
      <c r="H69" t="s">
        <v>26</v>
      </c>
      <c r="K69" s="12" t="s">
        <v>129</v>
      </c>
      <c r="L69" t="s">
        <v>28</v>
      </c>
      <c r="M69">
        <v>0.1</v>
      </c>
      <c r="N69">
        <v>10</v>
      </c>
      <c r="O69">
        <v>4</v>
      </c>
      <c r="P69" s="12" t="s">
        <v>143</v>
      </c>
      <c r="Q69" t="s">
        <v>27</v>
      </c>
      <c r="R69" t="s">
        <v>28</v>
      </c>
      <c r="S69">
        <v>1</v>
      </c>
      <c r="T69">
        <v>3</v>
      </c>
      <c r="U69">
        <v>0</v>
      </c>
      <c r="V69">
        <v>20</v>
      </c>
      <c r="W69">
        <v>0</v>
      </c>
      <c r="X69" t="s">
        <v>135</v>
      </c>
    </row>
    <row r="70" spans="3:24" x14ac:dyDescent="0.25">
      <c r="C70">
        <f>C69+1</f>
        <v>69</v>
      </c>
      <c r="D70" t="s">
        <v>153</v>
      </c>
      <c r="E70" t="str">
        <f t="shared" si="5"/>
        <v>69 GICS-beta1m (beta3m+ Longi.beta3m&gt;2.5)</v>
      </c>
      <c r="F70" t="s">
        <v>156</v>
      </c>
      <c r="G70" t="s">
        <v>25</v>
      </c>
      <c r="H70" t="s">
        <v>26</v>
      </c>
      <c r="K70" s="12" t="s">
        <v>128</v>
      </c>
      <c r="L70" t="s">
        <v>28</v>
      </c>
      <c r="M70">
        <v>0.1</v>
      </c>
      <c r="N70">
        <v>10</v>
      </c>
      <c r="O70">
        <v>4</v>
      </c>
      <c r="P70" s="12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3:24" x14ac:dyDescent="0.25">
      <c r="C71">
        <f>C70+1</f>
        <v>70</v>
      </c>
      <c r="D71" t="s">
        <v>153</v>
      </c>
      <c r="E71" t="str">
        <f t="shared" ref="E71:E72" si="6">TEXT(C71,"00") &amp; " GICS-"&amp;K71&amp;" ("&amp;Q71&amp;IF(P71&lt;&gt;"","+ ","")&amp;P71&amp;")"</f>
        <v>70 GICS-beta2m (beta3m)</v>
      </c>
      <c r="F71" t="s">
        <v>156</v>
      </c>
      <c r="G71" t="s">
        <v>25</v>
      </c>
      <c r="H71" t="s">
        <v>26</v>
      </c>
      <c r="K71" s="12" t="s">
        <v>129</v>
      </c>
      <c r="L71" t="s">
        <v>28</v>
      </c>
      <c r="M71">
        <v>0.1</v>
      </c>
      <c r="N71">
        <v>10</v>
      </c>
      <c r="O71">
        <v>4</v>
      </c>
      <c r="P71" s="12"/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3:24" x14ac:dyDescent="0.25">
      <c r="C72">
        <f>C71+1</f>
        <v>71</v>
      </c>
      <c r="D72" t="s">
        <v>153</v>
      </c>
      <c r="E72" t="str">
        <f t="shared" si="6"/>
        <v>71 GICS-beta1m (beta3m)</v>
      </c>
      <c r="F72" t="s">
        <v>156</v>
      </c>
      <c r="G72" t="s">
        <v>25</v>
      </c>
      <c r="H72" t="s">
        <v>26</v>
      </c>
      <c r="K72" s="12" t="s">
        <v>128</v>
      </c>
      <c r="L72" t="s">
        <v>28</v>
      </c>
      <c r="M72">
        <v>0.1</v>
      </c>
      <c r="N72">
        <v>10</v>
      </c>
      <c r="O72">
        <v>4</v>
      </c>
      <c r="P72" s="12"/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3:24" x14ac:dyDescent="0.25">
      <c r="C73">
        <f>C72+1</f>
        <v>72</v>
      </c>
      <c r="D73" t="s">
        <v>153</v>
      </c>
      <c r="E73" t="str">
        <f t="shared" ref="E73" si="7">TEXT(C73,"00") &amp; " GICS-"&amp;K73&amp;" ("&amp;Q73&amp;IF(P73&lt;&gt;"","+ ","")&amp;P73&amp;")"</f>
        <v>72 GICS-beta2m (beta3m)</v>
      </c>
      <c r="F73" t="s">
        <v>156</v>
      </c>
      <c r="G73" t="s">
        <v>25</v>
      </c>
      <c r="H73" t="s">
        <v>26</v>
      </c>
      <c r="K73" t="s">
        <v>129</v>
      </c>
      <c r="L73" t="s">
        <v>28</v>
      </c>
      <c r="M73">
        <v>0.1</v>
      </c>
      <c r="N73">
        <v>10</v>
      </c>
      <c r="O73" s="12">
        <v>5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3:24" x14ac:dyDescent="0.25">
      <c r="C74">
        <f t="shared" ref="C74:C75" si="8">C73+1</f>
        <v>73</v>
      </c>
      <c r="D74" t="s">
        <v>153</v>
      </c>
      <c r="E74" t="str">
        <f t="shared" ref="E74:E75" si="9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4</v>
      </c>
      <c r="Q74" t="s">
        <v>27</v>
      </c>
      <c r="R74" t="s">
        <v>28</v>
      </c>
      <c r="S74" s="12">
        <v>3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3:24" s="9" customFormat="1" x14ac:dyDescent="0.25">
      <c r="C75" s="9">
        <f t="shared" si="8"/>
        <v>74</v>
      </c>
      <c r="D75" s="9" t="s">
        <v>153</v>
      </c>
      <c r="E75" s="9" t="str">
        <f t="shared" si="9"/>
        <v>74 GICS-beta2m (beta3m)</v>
      </c>
      <c r="F75" s="9" t="s">
        <v>155</v>
      </c>
      <c r="G75" s="9" t="s">
        <v>25</v>
      </c>
      <c r="H75" s="9" t="s">
        <v>26</v>
      </c>
      <c r="K75" s="9" t="s">
        <v>129</v>
      </c>
      <c r="L75" s="9" t="s">
        <v>28</v>
      </c>
      <c r="M75" s="9">
        <v>0.1</v>
      </c>
      <c r="N75" s="9">
        <v>10</v>
      </c>
      <c r="O75" s="9">
        <v>4</v>
      </c>
      <c r="Q75" s="9" t="s">
        <v>27</v>
      </c>
      <c r="R75" s="9" t="s">
        <v>28</v>
      </c>
      <c r="S75" s="13" t="s">
        <v>154</v>
      </c>
      <c r="T75" s="9">
        <v>3</v>
      </c>
      <c r="U75" s="9">
        <v>0</v>
      </c>
      <c r="V75" s="9">
        <v>20</v>
      </c>
      <c r="W75" s="9">
        <v>0</v>
      </c>
      <c r="X75" s="9" t="s">
        <v>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2026-08-31T13:11:40Z</dcterms:modified>
</cp:coreProperties>
</file>