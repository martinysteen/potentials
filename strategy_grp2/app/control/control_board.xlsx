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3400EC81-26C1-43BA-A31A-D7BF2B1BA3A1}" xr6:coauthVersionLast="47" xr6:coauthVersionMax="47" xr10:uidLastSave="{00000000-0000-0000-0000-000000000000}"/>
  <bookViews>
    <workbookView xWindow="29505" yWindow="1485" windowWidth="35205" windowHeight="1435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80" i="1" l="1"/>
  <c r="C81" i="1" s="1"/>
  <c r="E81" i="1" s="1"/>
  <c r="C79" i="1"/>
  <c r="E79" i="1" s="1"/>
  <c r="E10" i="1"/>
  <c r="E9" i="1"/>
  <c r="C9" i="1"/>
  <c r="C10" i="1" s="1"/>
  <c r="C11" i="1" s="1"/>
  <c r="E2" i="1"/>
  <c r="C3" i="1"/>
  <c r="E3" i="1" s="1"/>
  <c r="E80" i="1" l="1"/>
  <c r="C4" i="1"/>
  <c r="C5" i="1" l="1"/>
  <c r="E4" i="1"/>
  <c r="C6" i="1" l="1"/>
  <c r="E5" i="1"/>
  <c r="C7" i="1" l="1"/>
  <c r="E6" i="1"/>
  <c r="C8" i="1" l="1"/>
  <c r="E7" i="1"/>
  <c r="C12" i="1" l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E8" i="1"/>
  <c r="C23" i="1" l="1"/>
  <c r="E22" i="1"/>
  <c r="C24" i="1" l="1"/>
  <c r="C25" i="1" s="1"/>
  <c r="C26" i="1" s="1"/>
  <c r="C27" i="1" s="1"/>
  <c r="E23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C37" i="1" l="1"/>
  <c r="E36" i="1"/>
  <c r="E37" i="1" l="1"/>
  <c r="C38" i="1"/>
  <c r="C39" i="1" l="1"/>
  <c r="E38" i="1"/>
  <c r="E39" i="1" l="1"/>
  <c r="C40" i="1"/>
  <c r="C41" i="1" l="1"/>
  <c r="E40" i="1"/>
  <c r="C42" i="1" l="1"/>
  <c r="E41" i="1"/>
  <c r="E42" i="1" l="1"/>
  <c r="C43" i="1"/>
  <c r="C44" i="1" l="1"/>
  <c r="E43" i="1"/>
  <c r="C45" i="1" l="1"/>
  <c r="E44" i="1"/>
  <c r="C46" i="1" l="1"/>
  <c r="E45" i="1"/>
  <c r="E46" i="1" l="1"/>
  <c r="C47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C70" i="1" l="1"/>
  <c r="E69" i="1"/>
  <c r="E70" i="1" l="1"/>
  <c r="C71" i="1"/>
  <c r="E71" i="1" l="1"/>
  <c r="C72" i="1"/>
  <c r="E72" i="1" l="1"/>
  <c r="C73" i="1"/>
  <c r="E73" i="1" l="1"/>
  <c r="C74" i="1"/>
  <c r="E74" i="1" l="1"/>
  <c r="C75" i="1"/>
  <c r="E75" i="1" l="1"/>
  <c r="C76" i="1"/>
  <c r="C77" i="1" l="1"/>
  <c r="E76" i="1"/>
  <c r="E77" i="1" l="1"/>
  <c r="C78" i="1"/>
  <c r="E78" i="1" s="1"/>
</calcChain>
</file>

<file path=xl/sharedStrings.xml><?xml version="1.0" encoding="utf-8"?>
<sst xmlns="http://schemas.openxmlformats.org/spreadsheetml/2006/main" count="821" uniqueCount="160">
  <si>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</si>
  <si>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</si>
  <si>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</si>
  <si>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</si>
  <si>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</si>
  <si>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</si>
  <si>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</si>
  <si>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</si>
  <si>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</si>
  <si>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</si>
  <si>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</si>
  <si>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</si>
  <si>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</si>
  <si>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</si>
  <si>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</si>
  <si>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</si>
  <si>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</si>
  <si>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</si>
  <si>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</si>
  <si>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</si>
  <si>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</si>
  <si>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</si>
  <si>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</si>
  <si>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</si>
  <si>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</si>
  <si>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</si>
  <si>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</si>
  <si>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</si>
  <si>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</si>
  <si>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</si>
  <si>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</si>
  <si>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</si>
  <si>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</si>
  <si>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</si>
  <si>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</si>
  <si>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</si>
  <si>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</si>
  <si>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</si>
  <si>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</si>
  <si>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</si>
  <si>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</si>
  <si>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</si>
  <si>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</si>
  <si>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</si>
  <si>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</si>
  <si>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</si>
  <si>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</si>
  <si>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</si>
  <si>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</si>
  <si>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</si>
  <si>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</si>
  <si>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</si>
  <si>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</si>
  <si>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</si>
  <si>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</si>
  <si>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</si>
  <si>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</si>
  <si>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</si>
  <si>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</si>
  <si>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</si>
  <si>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</si>
  <si>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</si>
  <si>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</si>
  <si>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</si>
  <si>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</si>
  <si>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</si>
  <si>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</si>
  <si>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</si>
  <si>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</si>
  <si>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</si>
  <si>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</si>
  <si>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</si>
  <si>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</si>
  <si>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</si>
  <si>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</si>
  <si>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</si>
  <si>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</si>
  <si>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</si>
  <si>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</si>
  <si>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</si>
  <si>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</si>
  <si>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</si>
  <si>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</si>
  <si>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</si>
  <si>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</si>
  <si>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</si>
  <si>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</si>
  <si>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</si>
  <si>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</si>
  <si>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</si>
  <si>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</si>
  <si>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</si>
  <si>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</si>
  <si>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</si>
  <si>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</si>
  <si>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</si>
  <si>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</si>
  <si>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</si>
  <si>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</si>
  <si>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</si>
  <si>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</si>
  <si>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</si>
  <si>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</si>
  <si>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</si>
  <si>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</si>
  <si>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</si>
  <si>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</si>
  <si>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</si>
  <si>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</si>
  <si>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</si>
  <si>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</si>
  <si>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</si>
  <si>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</si>
  <si>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</si>
  <si>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</si>
  <si>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</si>
  <si>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</si>
  <si>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</si>
  <si>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</si>
  <si>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</si>
  <si>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</si>
  <si>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</si>
  <si>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</si>
  <si>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</si>
  <si>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</si>
  <si>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</si>
  <si>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</si>
  <si>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</si>
  <si>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</si>
  <si>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</si>
  <si>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</si>
  <si>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</si>
  <si>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</si>
  <si>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</si>
  <si>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</si>
  <si>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</si>
  <si>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</si>
  <si>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</si>
  <si>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</si>
  <si>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</si>
  <si>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</si>
  <si>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</si>
  <si>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</si>
  <si>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</si>
  <si>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</si>
  <si>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</si>
  <si>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</si>
  <si>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</si>
  <si>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</si>
  <si>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</si>
  <si>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</si>
  <si>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</si>
  <si>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</si>
  <si>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</si>
  <si>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</si>
  <si>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</si>
  <si>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</si>
  <si>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Basis</t>
  </si>
  <si>
    <t>Stamdata.Sector2</t>
  </si>
  <si>
    <t>Rimelig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</si>
</sst>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0" xfId="0" applyFill="1"/>
    <xf numFmtId="0" fontId="0" fillId="10" borderId="1" xfId="0" applyFill="1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151</v>
      </c>
      <c r="D1" s="1" t="s">
        <v>152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B2" t="s">
        <v>23</v>
      </c>
      <c r="C2">
        <v>1</v>
      </c>
      <c r="D2" t="s">
        <v>157</v>
      </c>
      <c r="E2" t="str">
        <f>TEXT(C2,"00") &amp; " GICS-"&amp;K2&amp;" ("&amp;Q2&amp;IF(P2&lt;&gt;"","+ ","")&amp;P2&amp;")"</f>
        <v>01 GICS-beta3m (beta3m+ Longi.beta3m&gt;2.5)</v>
      </c>
      <c r="F2" t="s">
        <v>30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135</v>
      </c>
    </row>
    <row r="3" spans="1:25" x14ac:dyDescent="0.25">
      <c r="A3" t="s">
        <v>23</v>
      </c>
      <c r="C3">
        <f>C2+1</f>
        <v>2</v>
      </c>
      <c r="D3" t="s">
        <v>157</v>
      </c>
      <c r="E3" t="str">
        <f t="shared" ref="E3:E10" si="0">TEXT(C3,"00") &amp; " GICS-"&amp;K3&amp;" ("&amp;Q3&amp;IF(P3&lt;&gt;"","+ ","")&amp;P3&amp;")"</f>
        <v>02 GICS-beta3m (beta3m+ Longi.beta3m&gt;2.5)</v>
      </c>
      <c r="F3" t="s">
        <v>30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P3" t="s">
        <v>143</v>
      </c>
      <c r="Q3" t="s">
        <v>27</v>
      </c>
      <c r="R3" t="s">
        <v>28</v>
      </c>
      <c r="S3">
        <v>1</v>
      </c>
      <c r="T3">
        <v>3</v>
      </c>
      <c r="U3">
        <v>0</v>
      </c>
      <c r="V3">
        <v>20</v>
      </c>
      <c r="W3">
        <v>0</v>
      </c>
      <c r="X3" t="s">
        <v>135</v>
      </c>
    </row>
    <row r="4" spans="1:25" x14ac:dyDescent="0.25">
      <c r="C4">
        <f t="shared" ref="C4:C6" si="1">C3+1</f>
        <v>3</v>
      </c>
      <c r="E4" t="str">
        <f t="shared" ref="E4" si="2">TEXT(C4,"00") &amp; " GICS-"&amp;K4&amp;" ("&amp;Q4&amp;IF(P4&lt;&gt;"","+ ","")&amp;P4&amp;")"</f>
        <v>03 GICS-beta3m (beta3m)</v>
      </c>
      <c r="F4" t="s">
        <v>159</v>
      </c>
      <c r="G4" t="s">
        <v>25</v>
      </c>
      <c r="H4" t="s">
        <v>26</v>
      </c>
      <c r="K4" t="s">
        <v>27</v>
      </c>
      <c r="L4" t="s">
        <v>28</v>
      </c>
      <c r="M4">
        <v>0.1</v>
      </c>
      <c r="N4">
        <v>10</v>
      </c>
      <c r="O4">
        <v>4</v>
      </c>
      <c r="Q4" t="s">
        <v>27</v>
      </c>
      <c r="R4" t="s">
        <v>28</v>
      </c>
      <c r="S4">
        <v>1</v>
      </c>
      <c r="T4">
        <v>5</v>
      </c>
      <c r="U4">
        <v>0</v>
      </c>
      <c r="V4">
        <v>20</v>
      </c>
      <c r="W4">
        <v>0</v>
      </c>
      <c r="X4" t="s">
        <v>148</v>
      </c>
    </row>
    <row r="5" spans="1:25" x14ac:dyDescent="0.25">
      <c r="C5">
        <f t="shared" si="1"/>
        <v>4</v>
      </c>
      <c r="E5" t="str">
        <f t="shared" si="0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t="s">
        <v>142</v>
      </c>
    </row>
    <row r="6" spans="1:25" x14ac:dyDescent="0.25">
      <c r="C6">
        <f t="shared" si="1"/>
        <v>5</v>
      </c>
      <c r="E6" t="str">
        <f t="shared" si="0"/>
        <v>05 GICS-rank (beta3m+ Longi.beta3m&gt;3)</v>
      </c>
      <c r="F6" t="s">
        <v>30</v>
      </c>
      <c r="G6" t="s">
        <v>25</v>
      </c>
      <c r="H6" t="s">
        <v>26</v>
      </c>
      <c r="K6" t="s">
        <v>32</v>
      </c>
      <c r="L6" t="s">
        <v>33</v>
      </c>
      <c r="M6">
        <v>0.1</v>
      </c>
      <c r="N6">
        <v>10</v>
      </c>
      <c r="O6">
        <v>4</v>
      </c>
      <c r="P6" t="s">
        <v>144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s="10" t="s">
        <v>135</v>
      </c>
    </row>
    <row r="7" spans="1:25" x14ac:dyDescent="0.25">
      <c r="C7">
        <f t="shared" ref="C7:C70" si="3">C6+1</f>
        <v>6</v>
      </c>
      <c r="E7" t="str">
        <f t="shared" si="0"/>
        <v>06 GICS-PdivMA20 (beta3m)</v>
      </c>
      <c r="F7" t="s">
        <v>30</v>
      </c>
      <c r="G7" t="s">
        <v>25</v>
      </c>
      <c r="H7" t="s">
        <v>26</v>
      </c>
      <c r="K7" t="s">
        <v>31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29</v>
      </c>
    </row>
    <row r="8" spans="1:25" x14ac:dyDescent="0.25">
      <c r="A8" t="s">
        <v>23</v>
      </c>
      <c r="C8">
        <f t="shared" si="3"/>
        <v>7</v>
      </c>
      <c r="E8" t="str">
        <f t="shared" si="0"/>
        <v>07 GICS-sh3m (beta3m)</v>
      </c>
      <c r="F8" t="s">
        <v>24</v>
      </c>
      <c r="G8" t="s">
        <v>25</v>
      </c>
      <c r="H8" t="s">
        <v>26</v>
      </c>
      <c r="K8" t="s">
        <v>34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0"/>
        <v>08 GICS-quot1020 (beta3m)</v>
      </c>
      <c r="F9" t="s">
        <v>30</v>
      </c>
      <c r="G9" t="s">
        <v>25</v>
      </c>
      <c r="H9" t="s">
        <v>26</v>
      </c>
      <c r="K9" t="s">
        <v>43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A10" t="s">
        <v>23</v>
      </c>
      <c r="C10">
        <f t="shared" si="3"/>
        <v>9</v>
      </c>
      <c r="E10" t="str">
        <f t="shared" si="0"/>
        <v>09 GICS-quot2050 (beta3m)</v>
      </c>
      <c r="F10" t="s">
        <v>24</v>
      </c>
      <c r="G10" t="s">
        <v>25</v>
      </c>
      <c r="H10" t="s">
        <v>26</v>
      </c>
      <c r="K10" t="s">
        <v>45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35</v>
      </c>
      <c r="G11" t="s">
        <v>36</v>
      </c>
      <c r="H11" t="s">
        <v>26</v>
      </c>
      <c r="K11" t="s">
        <v>27</v>
      </c>
      <c r="L11" t="s">
        <v>28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37</v>
      </c>
      <c r="G12" t="s">
        <v>36</v>
      </c>
      <c r="H12" t="s">
        <v>26</v>
      </c>
      <c r="K12" t="s">
        <v>38</v>
      </c>
      <c r="L12" t="s">
        <v>33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39</v>
      </c>
      <c r="G13" t="s">
        <v>36</v>
      </c>
      <c r="H13" t="s">
        <v>26</v>
      </c>
      <c r="K13" t="s">
        <v>31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40</v>
      </c>
      <c r="G14" t="s">
        <v>36</v>
      </c>
      <c r="H14" t="s">
        <v>26</v>
      </c>
      <c r="K14" t="s">
        <v>41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42</v>
      </c>
      <c r="G15" t="s">
        <v>36</v>
      </c>
      <c r="H15" t="s">
        <v>26</v>
      </c>
      <c r="K15" t="s">
        <v>43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44</v>
      </c>
      <c r="G16" t="s">
        <v>36</v>
      </c>
      <c r="H16" t="s">
        <v>26</v>
      </c>
      <c r="K16" t="s">
        <v>45</v>
      </c>
      <c r="L16" t="s">
        <v>28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46</v>
      </c>
      <c r="G17" t="s">
        <v>36</v>
      </c>
      <c r="H17" t="s">
        <v>26</v>
      </c>
      <c r="K17" t="s">
        <v>32</v>
      </c>
      <c r="L17" t="s">
        <v>33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47</v>
      </c>
      <c r="G18" t="s">
        <v>36</v>
      </c>
      <c r="H18" t="s">
        <v>26</v>
      </c>
      <c r="K18" t="s">
        <v>48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49</v>
      </c>
      <c r="G19" t="s">
        <v>36</v>
      </c>
      <c r="H19" t="s">
        <v>26</v>
      </c>
      <c r="K19" t="s">
        <v>34</v>
      </c>
      <c r="L19" t="s">
        <v>28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50</v>
      </c>
      <c r="G20" t="s">
        <v>36</v>
      </c>
      <c r="H20" t="s">
        <v>26</v>
      </c>
      <c r="K20" t="s">
        <v>51</v>
      </c>
      <c r="L20" t="s">
        <v>33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">
        <v>52</v>
      </c>
      <c r="G21" t="s">
        <v>36</v>
      </c>
      <c r="H21" t="s">
        <v>26</v>
      </c>
      <c r="K21" t="s">
        <v>53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ref="E22:E23" si="4">TEXT(C22,"00") &amp; " GICS-"&amp;K22&amp;" ("&amp;Q22&amp;IF(P22&lt;&gt;"","+ ","")&amp;P22&amp;")"</f>
        <v>21 GICS-rsi (beta3m)</v>
      </c>
      <c r="G22" t="s">
        <v>25</v>
      </c>
      <c r="H22" t="s">
        <v>26</v>
      </c>
      <c r="K22" t="s">
        <v>48</v>
      </c>
      <c r="L22" t="s">
        <v>28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tr">
        <f t="shared" si="4"/>
        <v>22 GICS-spr100d (beta3m)</v>
      </c>
      <c r="G23" t="s">
        <v>25</v>
      </c>
      <c r="H23" t="s">
        <v>26</v>
      </c>
      <c r="K23" t="s">
        <v>51</v>
      </c>
      <c r="L23" t="s">
        <v>33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54</v>
      </c>
      <c r="G24" t="s">
        <v>55</v>
      </c>
      <c r="H24" t="s">
        <v>26</v>
      </c>
      <c r="K24" t="s">
        <v>45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56</v>
      </c>
      <c r="G25" t="s">
        <v>55</v>
      </c>
      <c r="H25" t="s">
        <v>26</v>
      </c>
      <c r="K25" t="s">
        <v>34</v>
      </c>
      <c r="L25" t="s">
        <v>28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">
        <v>57</v>
      </c>
      <c r="G26" t="s">
        <v>55</v>
      </c>
      <c r="H26" t="s">
        <v>26</v>
      </c>
      <c r="K26" t="s">
        <v>51</v>
      </c>
      <c r="L26" t="s">
        <v>33</v>
      </c>
      <c r="M26">
        <v>0.1</v>
      </c>
      <c r="N26">
        <v>10</v>
      </c>
      <c r="O26">
        <v>4</v>
      </c>
      <c r="Q26" t="s">
        <v>27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ref="E27:E72" si="5">TEXT(C27,"00") &amp; " GICS-"&amp;K27&amp;" ("&amp;Q27&amp;IF(P27&lt;&gt;"","+ ","")&amp;P27&amp;")"</f>
        <v>26 GICS-beta6m (beta6m)</v>
      </c>
      <c r="F27" t="s">
        <v>127</v>
      </c>
      <c r="G27" t="s">
        <v>25</v>
      </c>
      <c r="H27" t="s">
        <v>26</v>
      </c>
      <c r="K27" t="s">
        <v>126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GICS-beta3m (beta6m)</v>
      </c>
      <c r="F28" t="s">
        <v>127</v>
      </c>
      <c r="G28" t="s">
        <v>25</v>
      </c>
      <c r="H28" t="s">
        <v>26</v>
      </c>
      <c r="K28" t="s">
        <v>27</v>
      </c>
      <c r="L28" t="s">
        <v>28</v>
      </c>
      <c r="M28">
        <v>0.1</v>
      </c>
      <c r="N28">
        <v>10</v>
      </c>
      <c r="O28">
        <v>4</v>
      </c>
      <c r="Q28" t="s">
        <v>126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GICS-beta6m (beta3m)</v>
      </c>
      <c r="F29" t="s">
        <v>127</v>
      </c>
      <c r="G29" t="s">
        <v>25</v>
      </c>
      <c r="H29" t="s">
        <v>26</v>
      </c>
      <c r="K29" t="s">
        <v>126</v>
      </c>
      <c r="L29" t="s">
        <v>28</v>
      </c>
      <c r="M29">
        <v>0.1</v>
      </c>
      <c r="N29">
        <v>10</v>
      </c>
      <c r="O29">
        <v>4</v>
      </c>
      <c r="Q29" t="s">
        <v>27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GICS-beta1m (beta1m)</v>
      </c>
      <c r="F30" t="s">
        <v>130</v>
      </c>
      <c r="G30" t="s">
        <v>25</v>
      </c>
      <c r="H30" t="s">
        <v>26</v>
      </c>
      <c r="K30" t="s">
        <v>128</v>
      </c>
      <c r="L30" t="s">
        <v>28</v>
      </c>
      <c r="M30">
        <v>0.1</v>
      </c>
      <c r="N30">
        <v>10</v>
      </c>
      <c r="O30">
        <v>4</v>
      </c>
      <c r="Q30" t="s">
        <v>128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GICS-beta2m (beta2m)</v>
      </c>
      <c r="F31" t="s">
        <v>130</v>
      </c>
      <c r="G31" t="s">
        <v>25</v>
      </c>
      <c r="H31" t="s">
        <v>26</v>
      </c>
      <c r="K31" t="s">
        <v>129</v>
      </c>
      <c r="L31" t="s">
        <v>28</v>
      </c>
      <c r="M31">
        <v>0.1</v>
      </c>
      <c r="N31">
        <v>10</v>
      </c>
      <c r="O31">
        <v>4</v>
      </c>
      <c r="Q31" t="s">
        <v>129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GICS-beta3m (beta3m+ Longi.rank&lt;1000)</v>
      </c>
      <c r="G32" t="s">
        <v>131</v>
      </c>
      <c r="H32" t="s">
        <v>26</v>
      </c>
      <c r="K32" t="s">
        <v>27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GICS-PdivMA20 (beta3m+ Longi.rank&lt;1000)</v>
      </c>
      <c r="F33" t="s">
        <v>133</v>
      </c>
      <c r="G33" t="s">
        <v>131</v>
      </c>
      <c r="H33" t="s">
        <v>26</v>
      </c>
      <c r="K33" t="s">
        <v>31</v>
      </c>
      <c r="L33" t="s">
        <v>28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29</v>
      </c>
    </row>
    <row r="34" spans="3:24" x14ac:dyDescent="0.25">
      <c r="C34">
        <f t="shared" si="3"/>
        <v>33</v>
      </c>
      <c r="E34" t="str">
        <f t="shared" si="5"/>
        <v>33 GICS-rank (beta3m+ Longi.rank&lt;1000)</v>
      </c>
      <c r="F34" t="s">
        <v>141</v>
      </c>
      <c r="G34" t="s">
        <v>131</v>
      </c>
      <c r="H34" t="s">
        <v>26</v>
      </c>
      <c r="K34" t="s">
        <v>32</v>
      </c>
      <c r="L34" t="s">
        <v>33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135</v>
      </c>
    </row>
    <row r="35" spans="3:24" x14ac:dyDescent="0.25">
      <c r="C35">
        <f t="shared" si="3"/>
        <v>34</v>
      </c>
      <c r="E35" t="str">
        <f t="shared" si="5"/>
        <v>34 GICS-sh3m (beta3m+ Longi.rank&lt;1000)</v>
      </c>
      <c r="G35" t="s">
        <v>131</v>
      </c>
      <c r="H35" t="s">
        <v>26</v>
      </c>
      <c r="K35" t="s">
        <v>34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GICS-rsi (beta3m+ Longi.rank&lt;1000)</v>
      </c>
      <c r="G36" t="s">
        <v>131</v>
      </c>
      <c r="H36" t="s">
        <v>26</v>
      </c>
      <c r="K36" t="s">
        <v>48</v>
      </c>
      <c r="L36" t="s">
        <v>28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GICS-spr100d (beta3m+ Longi.rank&lt;1000)</v>
      </c>
      <c r="G37" t="s">
        <v>131</v>
      </c>
      <c r="H37" t="s">
        <v>26</v>
      </c>
      <c r="K37" t="s">
        <v>51</v>
      </c>
      <c r="L37" t="s">
        <v>33</v>
      </c>
      <c r="M37">
        <v>0.1</v>
      </c>
      <c r="N37">
        <v>5</v>
      </c>
      <c r="O37">
        <v>4</v>
      </c>
      <c r="P37" t="s">
        <v>132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29</v>
      </c>
    </row>
    <row r="38" spans="3:24" x14ac:dyDescent="0.25">
      <c r="C38">
        <f t="shared" si="3"/>
        <v>37</v>
      </c>
      <c r="E38" t="str">
        <f t="shared" si="5"/>
        <v>37 GICS-rank (beta3m)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Longi.per1d&gt;0)</v>
      </c>
      <c r="F39" t="s">
        <v>141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136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Longi.regr20d&gt;0)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137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Longi.regr50d&gt;0)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138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Longi.median_10d&lt;1100)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139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GICS-rank (beta3m+ Longi.median_10d&lt;1000)</v>
      </c>
      <c r="F43" t="s">
        <v>141</v>
      </c>
      <c r="G43" t="s">
        <v>131</v>
      </c>
      <c r="H43" t="s">
        <v>26</v>
      </c>
      <c r="K43" t="s">
        <v>32</v>
      </c>
      <c r="L43" t="s">
        <v>33</v>
      </c>
      <c r="M43">
        <v>0.1</v>
      </c>
      <c r="N43">
        <v>5</v>
      </c>
      <c r="O43">
        <v>4</v>
      </c>
      <c r="P43" t="s">
        <v>140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135</v>
      </c>
    </row>
    <row r="44" spans="3:24" x14ac:dyDescent="0.25">
      <c r="C44">
        <f t="shared" si="3"/>
        <v>43</v>
      </c>
      <c r="E44" t="str">
        <f t="shared" si="5"/>
        <v>43 GICS-PdivMA20 (beta3m)</v>
      </c>
      <c r="G44" t="s">
        <v>131</v>
      </c>
      <c r="H44" t="s">
        <v>26</v>
      </c>
      <c r="K44" t="s">
        <v>31</v>
      </c>
      <c r="L44" t="s">
        <v>28</v>
      </c>
      <c r="M44">
        <v>0.1</v>
      </c>
      <c r="N44">
        <v>5</v>
      </c>
      <c r="O44">
        <v>4</v>
      </c>
      <c r="Q44" t="s">
        <v>27</v>
      </c>
      <c r="R44" t="s">
        <v>28</v>
      </c>
      <c r="S44">
        <v>1</v>
      </c>
      <c r="T44">
        <v>3</v>
      </c>
      <c r="U44">
        <v>0</v>
      </c>
      <c r="V44">
        <v>20</v>
      </c>
      <c r="W44">
        <v>0</v>
      </c>
      <c r="X44" t="s">
        <v>29</v>
      </c>
    </row>
    <row r="45" spans="3:24" s="11" customFormat="1" x14ac:dyDescent="0.25">
      <c r="C45" s="11">
        <f t="shared" si="3"/>
        <v>44</v>
      </c>
      <c r="E45" s="11" t="str">
        <f t="shared" si="5"/>
        <v>44 GICS-rank (beta3m)</v>
      </c>
      <c r="F45" s="11" t="s">
        <v>145</v>
      </c>
      <c r="G45" s="11" t="s">
        <v>131</v>
      </c>
      <c r="H45" s="11" t="s">
        <v>26</v>
      </c>
      <c r="K45" s="11" t="s">
        <v>32</v>
      </c>
      <c r="L45" s="11" t="s">
        <v>33</v>
      </c>
      <c r="M45" s="11">
        <v>0.1</v>
      </c>
      <c r="N45" s="11">
        <v>5</v>
      </c>
      <c r="O45" s="11">
        <v>4</v>
      </c>
      <c r="Q45" s="11" t="s">
        <v>27</v>
      </c>
      <c r="R45" s="11" t="s">
        <v>28</v>
      </c>
      <c r="S45" s="11">
        <v>1</v>
      </c>
      <c r="T45" s="11">
        <v>3</v>
      </c>
      <c r="U45" s="11">
        <v>0</v>
      </c>
      <c r="V45" s="11">
        <v>20</v>
      </c>
      <c r="W45" s="11">
        <v>0</v>
      </c>
      <c r="X45" s="11" t="s">
        <v>135</v>
      </c>
    </row>
    <row r="46" spans="3:24" x14ac:dyDescent="0.25">
      <c r="C46">
        <f t="shared" si="3"/>
        <v>45</v>
      </c>
      <c r="E46" t="str">
        <f t="shared" si="5"/>
        <v>45 GICS-rank (PdivMA20+ Longi.rank&lt;1000)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P46" t="s">
        <v>132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(PdivMA20)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0.1</v>
      </c>
      <c r="N47">
        <v>5</v>
      </c>
      <c r="O47">
        <v>4</v>
      </c>
      <c r="Q47" t="s">
        <v>31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(beta3m+ Longi.rank&lt;1000)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P48" t="s">
        <v>132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(beta3m)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0.2</v>
      </c>
      <c r="N49">
        <v>5</v>
      </c>
      <c r="O49">
        <v>4</v>
      </c>
      <c r="Q49" t="s">
        <v>27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(PdivMA20+ Longi.rank&lt;1000)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P50" t="s">
        <v>132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(PdivMA20)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Q51" t="s">
        <v>31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(beta3m+ Longi.rank&lt;1000)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P52" t="s">
        <v>132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(beta3m)</v>
      </c>
      <c r="F53" t="s">
        <v>130</v>
      </c>
      <c r="G53" t="s">
        <v>131</v>
      </c>
      <c r="H53" t="s">
        <v>26</v>
      </c>
      <c r="K53" t="s">
        <v>32</v>
      </c>
      <c r="L53" t="s">
        <v>33</v>
      </c>
      <c r="M53">
        <v>0.1</v>
      </c>
      <c r="N53">
        <v>3</v>
      </c>
      <c r="O53">
        <v>4</v>
      </c>
      <c r="Q53" t="s">
        <v>27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29</v>
      </c>
    </row>
    <row r="54" spans="3:24" x14ac:dyDescent="0.25">
      <c r="C54">
        <f t="shared" si="3"/>
        <v>53</v>
      </c>
      <c r="E54" t="str">
        <f t="shared" si="5"/>
        <v>53 GICS-rank (rsi)</v>
      </c>
      <c r="F54" t="s">
        <v>130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48</v>
      </c>
      <c r="R54" t="s">
        <v>28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(rank)</v>
      </c>
      <c r="F55" t="s">
        <v>134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32</v>
      </c>
      <c r="R55" t="s">
        <v>33</v>
      </c>
      <c r="S55">
        <v>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x14ac:dyDescent="0.25">
      <c r="C56">
        <f t="shared" si="3"/>
        <v>55</v>
      </c>
      <c r="E56" t="str">
        <f t="shared" si="5"/>
        <v>55 GICS-rank (rsi)</v>
      </c>
      <c r="F56" t="s">
        <v>130</v>
      </c>
      <c r="G56" t="s">
        <v>25</v>
      </c>
      <c r="H56" t="s">
        <v>26</v>
      </c>
      <c r="K56" t="s">
        <v>32</v>
      </c>
      <c r="L56" t="s">
        <v>33</v>
      </c>
      <c r="M56">
        <v>0.1</v>
      </c>
      <c r="N56">
        <v>10</v>
      </c>
      <c r="O56">
        <v>4</v>
      </c>
      <c r="Q56" t="s">
        <v>48</v>
      </c>
      <c r="R56" t="s">
        <v>28</v>
      </c>
      <c r="S56">
        <v>-1</v>
      </c>
      <c r="T56">
        <v>3</v>
      </c>
      <c r="U56">
        <v>0</v>
      </c>
      <c r="V56">
        <v>20</v>
      </c>
      <c r="W56">
        <v>0</v>
      </c>
      <c r="X56" t="s">
        <v>135</v>
      </c>
    </row>
    <row r="57" spans="3:24" s="9" customFormat="1" x14ac:dyDescent="0.25">
      <c r="C57" s="9">
        <f t="shared" si="3"/>
        <v>56</v>
      </c>
      <c r="E57" s="9" t="str">
        <f t="shared" si="5"/>
        <v>56 GICS-rank (rank)</v>
      </c>
      <c r="F57" s="9" t="s">
        <v>134</v>
      </c>
      <c r="G57" s="9" t="s">
        <v>25</v>
      </c>
      <c r="H57" s="9" t="s">
        <v>26</v>
      </c>
      <c r="K57" s="9" t="s">
        <v>32</v>
      </c>
      <c r="L57" s="9" t="s">
        <v>33</v>
      </c>
      <c r="M57" s="9">
        <v>0.1</v>
      </c>
      <c r="N57" s="9">
        <v>10</v>
      </c>
      <c r="O57" s="9">
        <v>4</v>
      </c>
      <c r="Q57" s="9" t="s">
        <v>32</v>
      </c>
      <c r="R57" s="9" t="s">
        <v>33</v>
      </c>
      <c r="S57" s="9">
        <v>-1</v>
      </c>
      <c r="T57" s="9">
        <v>3</v>
      </c>
      <c r="U57" s="9">
        <v>0</v>
      </c>
      <c r="V57" s="9">
        <v>20</v>
      </c>
      <c r="W57" s="9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146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1</v>
      </c>
      <c r="U58">
        <v>0</v>
      </c>
      <c r="V58">
        <v>20</v>
      </c>
      <c r="W58">
        <v>0</v>
      </c>
      <c r="X58" t="s">
        <v>135</v>
      </c>
    </row>
    <row r="59" spans="3:24" x14ac:dyDescent="0.25">
      <c r="C59">
        <f t="shared" si="3"/>
        <v>58</v>
      </c>
      <c r="E59" t="str">
        <f t="shared" si="5"/>
        <v>58 GICS-beta3m (beta3m+ Longi.beta3m&gt;2.5)</v>
      </c>
      <c r="F59" t="s">
        <v>146</v>
      </c>
      <c r="G59" t="s">
        <v>25</v>
      </c>
      <c r="H59" t="s">
        <v>26</v>
      </c>
      <c r="K59" t="s">
        <v>27</v>
      </c>
      <c r="L59" t="s">
        <v>28</v>
      </c>
      <c r="M59">
        <v>0.1</v>
      </c>
      <c r="N59">
        <v>10</v>
      </c>
      <c r="O59">
        <v>4</v>
      </c>
      <c r="P59" t="s">
        <v>143</v>
      </c>
      <c r="Q59" t="s">
        <v>27</v>
      </c>
      <c r="R59" t="s">
        <v>28</v>
      </c>
      <c r="S59">
        <v>1</v>
      </c>
      <c r="T59">
        <v>5</v>
      </c>
      <c r="U59">
        <v>0</v>
      </c>
      <c r="V59">
        <v>20</v>
      </c>
      <c r="W59">
        <v>0</v>
      </c>
      <c r="X59" t="s">
        <v>135</v>
      </c>
    </row>
    <row r="60" spans="3:24" s="9" customFormat="1" x14ac:dyDescent="0.25">
      <c r="C60" s="9">
        <f t="shared" si="3"/>
        <v>59</v>
      </c>
      <c r="E60" s="9" t="str">
        <f t="shared" si="5"/>
        <v>59 GICS-beta3m (beta3m+ Longi.beta3m&gt;2.5)</v>
      </c>
      <c r="F60" s="9" t="s">
        <v>146</v>
      </c>
      <c r="G60" s="9" t="s">
        <v>25</v>
      </c>
      <c r="H60" s="9" t="s">
        <v>26</v>
      </c>
      <c r="K60" s="9" t="s">
        <v>27</v>
      </c>
      <c r="L60" s="9" t="s">
        <v>28</v>
      </c>
      <c r="M60" s="9">
        <v>0.1</v>
      </c>
      <c r="N60" s="9">
        <v>10</v>
      </c>
      <c r="O60" s="9">
        <v>4</v>
      </c>
      <c r="P60" s="9" t="s">
        <v>143</v>
      </c>
      <c r="Q60" s="9" t="s">
        <v>27</v>
      </c>
      <c r="R60" s="9" t="s">
        <v>28</v>
      </c>
      <c r="S60" s="9">
        <v>1</v>
      </c>
      <c r="T60" s="9">
        <v>10</v>
      </c>
      <c r="U60" s="9">
        <v>0</v>
      </c>
      <c r="V60" s="9">
        <v>20</v>
      </c>
      <c r="W60" s="9">
        <v>0</v>
      </c>
      <c r="X60" s="9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147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6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x14ac:dyDescent="0.25">
      <c r="C62">
        <f t="shared" si="3"/>
        <v>61</v>
      </c>
      <c r="E62" t="str">
        <f t="shared" si="5"/>
        <v>61 GICS-beta3m (beta3m+ Longi.beta3m&gt;2.5)</v>
      </c>
      <c r="F62" t="s">
        <v>147</v>
      </c>
      <c r="G62" t="s">
        <v>25</v>
      </c>
      <c r="H62" t="s">
        <v>26</v>
      </c>
      <c r="K62" t="s">
        <v>27</v>
      </c>
      <c r="L62" t="s">
        <v>28</v>
      </c>
      <c r="M62">
        <v>0.1</v>
      </c>
      <c r="N62">
        <v>10</v>
      </c>
      <c r="O62">
        <v>8</v>
      </c>
      <c r="P62" t="s">
        <v>143</v>
      </c>
      <c r="Q62" t="s">
        <v>27</v>
      </c>
      <c r="R62" t="s">
        <v>28</v>
      </c>
      <c r="S62">
        <v>1</v>
      </c>
      <c r="T62">
        <v>3</v>
      </c>
      <c r="U62">
        <v>0</v>
      </c>
      <c r="V62">
        <v>20</v>
      </c>
      <c r="W62">
        <v>0</v>
      </c>
      <c r="X62" t="s">
        <v>135</v>
      </c>
    </row>
    <row r="63" spans="3:24" s="9" customFormat="1" x14ac:dyDescent="0.25">
      <c r="C63" s="9">
        <f t="shared" si="3"/>
        <v>62</v>
      </c>
      <c r="E63" s="9" t="str">
        <f t="shared" si="5"/>
        <v>62 GICS-beta3m (beta3m+ Longi.beta3m&gt;2.5)</v>
      </c>
      <c r="F63" s="9" t="s">
        <v>147</v>
      </c>
      <c r="G63" s="9" t="s">
        <v>25</v>
      </c>
      <c r="H63" s="9" t="s">
        <v>26</v>
      </c>
      <c r="K63" s="9" t="s">
        <v>27</v>
      </c>
      <c r="L63" s="9" t="s">
        <v>28</v>
      </c>
      <c r="M63" s="9">
        <v>0.1</v>
      </c>
      <c r="N63" s="9">
        <v>10</v>
      </c>
      <c r="O63" s="9">
        <v>10</v>
      </c>
      <c r="P63" s="9" t="s">
        <v>143</v>
      </c>
      <c r="Q63" s="9" t="s">
        <v>27</v>
      </c>
      <c r="R63" s="9" t="s">
        <v>28</v>
      </c>
      <c r="S63" s="9">
        <v>1</v>
      </c>
      <c r="T63" s="9">
        <v>3</v>
      </c>
      <c r="U63" s="9">
        <v>0</v>
      </c>
      <c r="V63" s="9">
        <v>20</v>
      </c>
      <c r="W63" s="9">
        <v>0</v>
      </c>
      <c r="X63" s="9" t="s">
        <v>135</v>
      </c>
    </row>
    <row r="64" spans="3:24" x14ac:dyDescent="0.25">
      <c r="C64">
        <f t="shared" si="3"/>
        <v>63</v>
      </c>
      <c r="E64" t="str">
        <f t="shared" si="5"/>
        <v>63 GICS-beta3m (beta3m+ Longi.rank&lt;1000)</v>
      </c>
      <c r="F64" t="s">
        <v>150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132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148</v>
      </c>
    </row>
    <row r="65" spans="1:24" x14ac:dyDescent="0.25">
      <c r="C65">
        <f t="shared" si="3"/>
        <v>64</v>
      </c>
      <c r="E65" t="str">
        <f t="shared" si="5"/>
        <v>64 GICS-beta3m (beta3m+ Longi.beta3m&gt;2.5)</v>
      </c>
      <c r="F65" t="s">
        <v>150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143</v>
      </c>
      <c r="Q65" t="s">
        <v>27</v>
      </c>
      <c r="R65" t="s">
        <v>28</v>
      </c>
      <c r="S65">
        <v>1</v>
      </c>
      <c r="T65">
        <v>3</v>
      </c>
      <c r="U65">
        <v>0</v>
      </c>
      <c r="V65">
        <v>20</v>
      </c>
      <c r="W65">
        <v>0</v>
      </c>
      <c r="X65" t="s">
        <v>148</v>
      </c>
    </row>
    <row r="66" spans="1:24" x14ac:dyDescent="0.25">
      <c r="C66">
        <f t="shared" si="3"/>
        <v>65</v>
      </c>
      <c r="E66" t="str">
        <f t="shared" si="5"/>
        <v>65 GICS-beta3m (beta3m+ Longi.rank&lt;1000)</v>
      </c>
      <c r="F66" t="s">
        <v>150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132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148</v>
      </c>
    </row>
    <row r="67" spans="1:24" x14ac:dyDescent="0.25">
      <c r="C67">
        <f t="shared" si="3"/>
        <v>66</v>
      </c>
      <c r="E67" t="str">
        <f t="shared" si="5"/>
        <v>66 GICS-beta3m (beta3m+ Longi.beta3m&gt;2.5)</v>
      </c>
      <c r="F67" t="s">
        <v>150</v>
      </c>
      <c r="G67" t="s">
        <v>25</v>
      </c>
      <c r="H67" t="s">
        <v>26</v>
      </c>
      <c r="K67" t="s">
        <v>27</v>
      </c>
      <c r="L67" t="s">
        <v>28</v>
      </c>
      <c r="M67">
        <v>0.15</v>
      </c>
      <c r="N67">
        <v>10</v>
      </c>
      <c r="O67">
        <v>4</v>
      </c>
      <c r="P67" t="s">
        <v>143</v>
      </c>
      <c r="Q67" t="s">
        <v>27</v>
      </c>
      <c r="R67" t="s">
        <v>28</v>
      </c>
      <c r="S67">
        <v>1</v>
      </c>
      <c r="T67">
        <v>3</v>
      </c>
      <c r="U67">
        <v>-20</v>
      </c>
      <c r="V67">
        <v>20</v>
      </c>
      <c r="W67">
        <v>0</v>
      </c>
      <c r="X67" t="s">
        <v>148</v>
      </c>
    </row>
    <row r="68" spans="1:24" x14ac:dyDescent="0.25">
      <c r="C68">
        <f t="shared" si="3"/>
        <v>67</v>
      </c>
      <c r="E68" t="str">
        <f t="shared" si="5"/>
        <v>67 GICS-beta3m (beta3m)</v>
      </c>
      <c r="F68" t="s">
        <v>150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148</v>
      </c>
    </row>
    <row r="69" spans="1:24" x14ac:dyDescent="0.25">
      <c r="C69">
        <f t="shared" si="3"/>
        <v>68</v>
      </c>
      <c r="E69" t="str">
        <f t="shared" si="5"/>
        <v>68 GICS-beta3m (beta3m+ Longi.rank&lt;1000 .and. Longi.beta3m&gt;2.5)</v>
      </c>
      <c r="F69" t="s">
        <v>150</v>
      </c>
      <c r="G69" t="s">
        <v>25</v>
      </c>
      <c r="H69" t="s">
        <v>26</v>
      </c>
      <c r="K69" t="s">
        <v>27</v>
      </c>
      <c r="L69" t="s">
        <v>28</v>
      </c>
      <c r="M69">
        <v>0.1</v>
      </c>
      <c r="N69">
        <v>10</v>
      </c>
      <c r="O69">
        <v>4</v>
      </c>
      <c r="P69" t="s">
        <v>149</v>
      </c>
      <c r="Q69" t="s">
        <v>27</v>
      </c>
      <c r="R69" t="s">
        <v>28</v>
      </c>
      <c r="S69">
        <v>1</v>
      </c>
      <c r="T69">
        <v>3</v>
      </c>
      <c r="U69">
        <v>0</v>
      </c>
      <c r="V69">
        <v>20</v>
      </c>
      <c r="W69">
        <v>0</v>
      </c>
      <c r="X69" t="s">
        <v>148</v>
      </c>
    </row>
    <row r="70" spans="1:24" s="9" customFormat="1" x14ac:dyDescent="0.25">
      <c r="C70" s="9">
        <f t="shared" si="3"/>
        <v>69</v>
      </c>
      <c r="E70" s="9" t="str">
        <f t="shared" si="5"/>
        <v>69 GICS-beta3m (beta3m+ Longi.rank&lt;1000 .and. Longi.beta3m&gt;2.5)</v>
      </c>
      <c r="F70" s="9" t="s">
        <v>150</v>
      </c>
      <c r="G70" s="9" t="s">
        <v>25</v>
      </c>
      <c r="H70" s="9" t="s">
        <v>26</v>
      </c>
      <c r="K70" s="9" t="s">
        <v>27</v>
      </c>
      <c r="L70" s="9" t="s">
        <v>28</v>
      </c>
      <c r="M70" s="9">
        <v>0.1</v>
      </c>
      <c r="N70" s="9">
        <v>10</v>
      </c>
      <c r="O70" s="9">
        <v>5</v>
      </c>
      <c r="P70" s="9" t="s">
        <v>149</v>
      </c>
      <c r="Q70" s="9" t="s">
        <v>27</v>
      </c>
      <c r="R70" s="9" t="s">
        <v>28</v>
      </c>
      <c r="S70" s="9">
        <v>1</v>
      </c>
      <c r="T70" s="9">
        <v>3</v>
      </c>
      <c r="U70" s="9">
        <v>0</v>
      </c>
      <c r="V70" s="9">
        <v>20</v>
      </c>
      <c r="W70" s="9">
        <v>0</v>
      </c>
      <c r="X70" s="9" t="s">
        <v>148</v>
      </c>
    </row>
    <row r="71" spans="1:24" x14ac:dyDescent="0.25">
      <c r="C71">
        <f>C70+1</f>
        <v>70</v>
      </c>
      <c r="D71" t="s">
        <v>153</v>
      </c>
      <c r="E71" t="str">
        <f t="shared" si="5"/>
        <v>70 GICS-beta2m (beta3m+ Longi.beta3m&gt;2.5)</v>
      </c>
      <c r="F71" t="s">
        <v>156</v>
      </c>
      <c r="G71" t="s">
        <v>25</v>
      </c>
      <c r="H71" t="s">
        <v>26</v>
      </c>
      <c r="K71" s="12" t="s">
        <v>129</v>
      </c>
      <c r="L71" t="s">
        <v>28</v>
      </c>
      <c r="M71">
        <v>0.1</v>
      </c>
      <c r="N71">
        <v>10</v>
      </c>
      <c r="O71">
        <v>4</v>
      </c>
      <c r="P71" s="12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153</v>
      </c>
      <c r="E72" t="str">
        <f t="shared" si="5"/>
        <v>71 GICS-beta1m (beta3m+ Longi.beta3m&gt;2.5)</v>
      </c>
      <c r="F72" t="s">
        <v>156</v>
      </c>
      <c r="G72" t="s">
        <v>25</v>
      </c>
      <c r="H72" t="s">
        <v>26</v>
      </c>
      <c r="K72" s="12" t="s">
        <v>128</v>
      </c>
      <c r="L72" t="s">
        <v>28</v>
      </c>
      <c r="M72">
        <v>0.1</v>
      </c>
      <c r="N72">
        <v>10</v>
      </c>
      <c r="O72">
        <v>4</v>
      </c>
      <c r="P72" s="12" t="s">
        <v>143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153</v>
      </c>
      <c r="E73" t="str">
        <f t="shared" ref="E73:E74" si="6">TEXT(C73,"00") &amp; " GICS-"&amp;K73&amp;" ("&amp;Q73&amp;IF(P73&lt;&gt;"","+ ","")&amp;P73&amp;")"</f>
        <v>72 GICS-beta2m (beta3m)</v>
      </c>
      <c r="F73" t="s">
        <v>156</v>
      </c>
      <c r="G73" t="s">
        <v>25</v>
      </c>
      <c r="H73" t="s">
        <v>26</v>
      </c>
      <c r="K73" s="12" t="s">
        <v>129</v>
      </c>
      <c r="L73" t="s">
        <v>28</v>
      </c>
      <c r="M73">
        <v>0.1</v>
      </c>
      <c r="N73">
        <v>10</v>
      </c>
      <c r="O73">
        <v>4</v>
      </c>
      <c r="P73" s="12"/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153</v>
      </c>
      <c r="E74" t="str">
        <f t="shared" si="6"/>
        <v>73 GICS-beta1m (beta3m)</v>
      </c>
      <c r="F74" t="s">
        <v>156</v>
      </c>
      <c r="G74" t="s">
        <v>25</v>
      </c>
      <c r="H74" t="s">
        <v>26</v>
      </c>
      <c r="K74" s="12" t="s">
        <v>128</v>
      </c>
      <c r="L74" t="s">
        <v>28</v>
      </c>
      <c r="M74">
        <v>0.1</v>
      </c>
      <c r="N74">
        <v>10</v>
      </c>
      <c r="O74">
        <v>4</v>
      </c>
      <c r="P74" s="12"/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>C74+1</f>
        <v>74</v>
      </c>
      <c r="D75" t="s">
        <v>153</v>
      </c>
      <c r="E75" t="str">
        <f t="shared" ref="E75" si="7">TEXT(C75,"00") &amp; " GICS-"&amp;K75&amp;" ("&amp;Q75&amp;IF(P75&lt;&gt;"","+ ","")&amp;P75&amp;")"</f>
        <v>74 GICS-beta2m (beta3m)</v>
      </c>
      <c r="F75" t="s">
        <v>156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 s="12">
        <v>5</v>
      </c>
      <c r="Q75" t="s">
        <v>27</v>
      </c>
      <c r="R75" t="s">
        <v>28</v>
      </c>
      <c r="S75">
        <v>1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x14ac:dyDescent="0.25">
      <c r="C76">
        <f t="shared" ref="C76:C77" si="8">C75+1</f>
        <v>75</v>
      </c>
      <c r="D76" t="s">
        <v>153</v>
      </c>
      <c r="E76" t="str">
        <f t="shared" ref="E76:E77" si="9">TEXT(C76,"00") &amp; " GICS-"&amp;K76&amp;" ("&amp;Q76&amp;IF(P76&lt;&gt;"","+ ","")&amp;P76&amp;")"</f>
        <v>75 GICS-beta2m (beta3m)</v>
      </c>
      <c r="F76" t="s">
        <v>155</v>
      </c>
      <c r="G76" t="s">
        <v>25</v>
      </c>
      <c r="H76" t="s">
        <v>26</v>
      </c>
      <c r="K76" t="s">
        <v>129</v>
      </c>
      <c r="L76" t="s">
        <v>28</v>
      </c>
      <c r="M76">
        <v>0.1</v>
      </c>
      <c r="N76">
        <v>10</v>
      </c>
      <c r="O76">
        <v>4</v>
      </c>
      <c r="Q76" t="s">
        <v>27</v>
      </c>
      <c r="R76" t="s">
        <v>28</v>
      </c>
      <c r="S76" s="12">
        <v>3</v>
      </c>
      <c r="T76">
        <v>3</v>
      </c>
      <c r="U76">
        <v>0</v>
      </c>
      <c r="V76">
        <v>20</v>
      </c>
      <c r="W76">
        <v>0</v>
      </c>
      <c r="X76" t="s">
        <v>135</v>
      </c>
    </row>
    <row r="77" spans="1:24" s="9" customFormat="1" x14ac:dyDescent="0.25">
      <c r="C77" s="9">
        <f t="shared" si="8"/>
        <v>76</v>
      </c>
      <c r="D77" s="9" t="s">
        <v>153</v>
      </c>
      <c r="E77" s="9" t="str">
        <f t="shared" si="9"/>
        <v>76 GICS-beta2m (beta3m)</v>
      </c>
      <c r="F77" s="9" t="s">
        <v>155</v>
      </c>
      <c r="G77" s="9" t="s">
        <v>25</v>
      </c>
      <c r="H77" s="9" t="s">
        <v>26</v>
      </c>
      <c r="K77" s="9" t="s">
        <v>129</v>
      </c>
      <c r="L77" s="9" t="s">
        <v>28</v>
      </c>
      <c r="M77" s="9">
        <v>0.1</v>
      </c>
      <c r="N77" s="9">
        <v>10</v>
      </c>
      <c r="O77" s="9">
        <v>4</v>
      </c>
      <c r="Q77" s="9" t="s">
        <v>27</v>
      </c>
      <c r="R77" s="9" t="s">
        <v>28</v>
      </c>
      <c r="S77" s="13" t="s">
        <v>154</v>
      </c>
      <c r="T77" s="9">
        <v>3</v>
      </c>
      <c r="U77" s="9">
        <v>0</v>
      </c>
      <c r="V77" s="9">
        <v>20</v>
      </c>
      <c r="W77" s="9">
        <v>0</v>
      </c>
      <c r="X77" s="9" t="s">
        <v>135</v>
      </c>
    </row>
    <row r="78" spans="1:24" x14ac:dyDescent="0.25">
      <c r="A78" t="s">
        <v>23</v>
      </c>
      <c r="C78">
        <f>C77+1</f>
        <v>77</v>
      </c>
      <c r="E78" t="str">
        <f>TEXT(C78,"00") &amp; " Sector2-"&amp;K78&amp;" ("&amp;Q78&amp;IF(P78&lt;&gt;"","+ ","")&amp;P78&amp;")"</f>
        <v>77 Sector2-beta3m (beta3m+ Longi.beta3m&gt;2.5)</v>
      </c>
      <c r="F78" t="s">
        <v>159</v>
      </c>
      <c r="G78" t="s">
        <v>158</v>
      </c>
      <c r="H78" t="s">
        <v>26</v>
      </c>
      <c r="K78" t="s">
        <v>27</v>
      </c>
      <c r="L78" t="s">
        <v>28</v>
      </c>
      <c r="M78">
        <v>0.1</v>
      </c>
      <c r="N78">
        <v>10</v>
      </c>
      <c r="O78">
        <v>4</v>
      </c>
      <c r="P78" t="s">
        <v>143</v>
      </c>
      <c r="Q78" t="s">
        <v>27</v>
      </c>
      <c r="R78" t="s">
        <v>28</v>
      </c>
      <c r="S78">
        <v>1</v>
      </c>
      <c r="T78">
        <v>3</v>
      </c>
      <c r="U78">
        <v>0</v>
      </c>
      <c r="V78">
        <v>20</v>
      </c>
      <c r="W78">
        <v>0</v>
      </c>
      <c r="X78" t="s">
        <v>135</v>
      </c>
    </row>
    <row r="79" spans="1:24" x14ac:dyDescent="0.25">
      <c r="A79" t="s">
        <v>23</v>
      </c>
      <c r="C79">
        <f>C78+1</f>
        <v>78</v>
      </c>
      <c r="E79" t="str">
        <f>TEXT(C79,"00") &amp; " Sector2-"&amp;K79&amp;" ("&amp;Q79&amp;IF(P79&lt;&gt;"","+ ","")&amp;P79&amp;")"</f>
        <v>78 Sector2-quot2050 (beta3m+ Longi.beta3m&gt;2.5)</v>
      </c>
      <c r="G79" t="s">
        <v>158</v>
      </c>
      <c r="H79" t="s">
        <v>26</v>
      </c>
      <c r="K79" t="s">
        <v>45</v>
      </c>
      <c r="L79" t="s">
        <v>28</v>
      </c>
      <c r="M79">
        <v>0.1</v>
      </c>
      <c r="N79">
        <v>10</v>
      </c>
      <c r="O79">
        <v>4</v>
      </c>
      <c r="P79" t="s">
        <v>143</v>
      </c>
      <c r="Q79" t="s">
        <v>27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135</v>
      </c>
    </row>
    <row r="80" spans="1:24" x14ac:dyDescent="0.25">
      <c r="A80" t="s">
        <v>23</v>
      </c>
      <c r="C80">
        <f>C79+1</f>
        <v>79</v>
      </c>
      <c r="E80" t="str">
        <f>TEXT(C80,"00") &amp; " Sector2-"&amp;K80&amp;" ("&amp;Q80&amp;IF(P80&lt;&gt;"","+ ","")&amp;P80&amp;")"</f>
        <v>79 Sector2-beta3m (beta3m)</v>
      </c>
      <c r="G80" t="s">
        <v>158</v>
      </c>
      <c r="H80" t="s">
        <v>26</v>
      </c>
      <c r="K80" t="s">
        <v>27</v>
      </c>
      <c r="L80" t="s">
        <v>28</v>
      </c>
      <c r="M80">
        <v>0.1</v>
      </c>
      <c r="N80">
        <v>10</v>
      </c>
      <c r="O80">
        <v>4</v>
      </c>
      <c r="Q80" t="s">
        <v>27</v>
      </c>
      <c r="R80" t="s">
        <v>28</v>
      </c>
      <c r="S80">
        <v>1</v>
      </c>
      <c r="T80">
        <v>3</v>
      </c>
      <c r="U80">
        <v>0</v>
      </c>
      <c r="V80">
        <v>20</v>
      </c>
      <c r="W80">
        <v>0</v>
      </c>
      <c r="X80" t="s">
        <v>135</v>
      </c>
    </row>
    <row r="81" spans="1:24" x14ac:dyDescent="0.25">
      <c r="A81" t="s">
        <v>23</v>
      </c>
      <c r="C81">
        <f>C80+1</f>
        <v>80</v>
      </c>
      <c r="E81" t="str">
        <f>TEXT(C81,"00") &amp; " Sector2-"&amp;K81&amp;" ("&amp;Q81&amp;IF(P81&lt;&gt;"","+ ","")&amp;P81&amp;")"</f>
        <v>80 Sector2-quot2050 (beta3m)</v>
      </c>
      <c r="G81" t="s">
        <v>158</v>
      </c>
      <c r="H81" t="s">
        <v>26</v>
      </c>
      <c r="K81" t="s">
        <v>45</v>
      </c>
      <c r="L81" t="s">
        <v>28</v>
      </c>
      <c r="M81">
        <v>0.1</v>
      </c>
      <c r="N81">
        <v>10</v>
      </c>
      <c r="O81">
        <v>4</v>
      </c>
      <c r="Q81" t="s">
        <v>27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2026-09-03T15:49:11Z</dcterms:modified>
</cp:coreProperties>
</file>