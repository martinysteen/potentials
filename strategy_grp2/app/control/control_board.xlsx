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7232E1F7-C1D6-4C2C-88EC-2F05780ACB0A}" xr6:coauthVersionLast="47" xr6:coauthVersionMax="47" xr10:uidLastSave="{00000000-0000-0000-0000-000000000000}"/>
  <bookViews>
    <workbookView xWindow="21420" yWindow="4320" windowWidth="35460" windowHeight="11880" activeTab="4" xr2:uid="{00000000-000D-0000-FFFF-FFFF00000000}"/>
  </bookViews>
  <sheets>
    <sheet name="Runs" sheetId="1" r:id="rId1"/>
    <sheet name="Settings" sheetId="2" r:id="rId2"/>
    <sheet name="Legend" sheetId="3" r:id="rId3"/>
    <sheet name="RA1" sheetId="6" r:id="rId4"/>
    <sheet name="RA2" sheetId="7" r:id="rId5"/>
  </sheets>
  <definedNames>
    <definedName name="RA_1">'RA1'!$A$3:$AF$22</definedName>
    <definedName name="RA_2">'RA2'!$A$3:$AF$22</definedName>
  </definedNames>
  <calcPr calcId="191029"/>
</workbook>
</file>

<file path=xl/calcChain.xml><?xml version="1.0" encoding="utf-8"?>
<calcChain xmlns="http://schemas.openxmlformats.org/spreadsheetml/2006/main">
  <c r="D21" i="1" l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E17" i="1"/>
  <c r="E19" i="1"/>
  <c r="E2" i="1"/>
  <c r="E18" i="1"/>
  <c r="E16" i="1"/>
  <c r="E8" i="1"/>
  <c r="E4" i="1"/>
  <c r="E3" i="1"/>
  <c r="E5" i="1"/>
  <c r="C12" i="1"/>
  <c r="C11" i="1"/>
  <c r="C10" i="1"/>
  <c r="E10" i="1" s="1"/>
  <c r="C20" i="1"/>
  <c r="E20" i="1" s="1"/>
  <c r="C21" i="1"/>
  <c r="C17" i="1"/>
  <c r="C19" i="1"/>
  <c r="C2" i="1"/>
  <c r="C18" i="1"/>
  <c r="C16" i="1"/>
  <c r="C5" i="1"/>
  <c r="C3" i="1"/>
  <c r="C4" i="1"/>
  <c r="C7" i="1"/>
  <c r="C8" i="1"/>
  <c r="C9" i="1"/>
  <c r="C13" i="1"/>
  <c r="C14" i="1"/>
  <c r="C15" i="1"/>
  <c r="C6" i="1"/>
  <c r="E9" i="1" l="1"/>
  <c r="E7" i="1"/>
  <c r="E14" i="1"/>
  <c r="E13" i="1"/>
  <c r="E21" i="1"/>
  <c r="E15" i="1"/>
  <c r="E11" i="1"/>
  <c r="E6" i="1"/>
  <c r="E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sm</author>
  </authors>
  <commentList>
    <comment ref="P1" authorId="0" shapeId="0" xr:uid="{4E7F8AE7-21DD-4633-BA2A-16338F8B8407}">
      <text>
        <r>
          <rPr>
            <b/>
            <sz val="9"/>
            <color indexed="81"/>
            <rFont val="Tahoma"/>
            <charset val="1"/>
          </rPr>
          <t>sm:</t>
        </r>
        <r>
          <rPr>
            <sz val="9"/>
            <color indexed="81"/>
            <rFont val="Tahoma"/>
            <charset val="1"/>
          </rPr>
          <t xml:space="preserve">
RSI og order_rank=-1 giver dårligere resultater ne Rank med -1  </t>
        </r>
      </text>
    </comment>
  </commentList>
</comments>
</file>

<file path=xl/sharedStrings.xml><?xml version="1.0" encoding="utf-8"?>
<sst xmlns="http://schemas.openxmlformats.org/spreadsheetml/2006/main" count="749" uniqueCount="175">
  <si>
    <t>active</t>
  </si>
  <si>
    <t>purpose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</si>
  <si>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</si>
  <si>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</si>
  <si>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</si>
  <si>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</si>
  <si>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</si>
  <si>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</si>
  <si>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</si>
  <si>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</si>
  <si>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</si>
  <si>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</si>
  <si>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</si>
  <si>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</si>
  <si>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</si>
  <si>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</si>
  <si>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</si>
  <si>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</si>
  <si>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period</t>
  </si>
  <si>
    <t>no_go_gspc_rsi</t>
  </si>
  <si>
    <t>informational_attributes</t>
  </si>
  <si>
    <t>stop_loss</t>
  </si>
  <si>
    <t>wf_group</t>
  </si>
  <si>
    <t>D</t>
  </si>
  <si>
    <t>Stamdata.GICS</t>
  </si>
  <si>
    <t>A</t>
  </si>
  <si>
    <t>rsi</t>
  </si>
  <si>
    <t>big_wins</t>
  </si>
  <si>
    <t>rank</t>
  </si>
  <si>
    <t>small_wins</t>
  </si>
  <si>
    <t>spr100d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</si>
  <si>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</si>
  <si>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</si>
  <si>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</si>
  <si>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</si>
  <si>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</si>
  <si>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</si>
  <si>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</si>
  <si>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</si>
  <si>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</si>
  <si>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</si>
  <si>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</si>
  <si>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</si>
  <si>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How many P-purpose rows' gross lists ship in StrategicStocks.xlsx.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</si>
  <si>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</si>
  <si>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</si>
  <si>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</si>
  <si>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</si>
  <si>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</si>
  <si>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</si>
  <si>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</si>
  <si>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</si>
  <si>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</si>
  <si>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</si>
  <si>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</si>
  <si>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</si>
  <si>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</si>
  <si>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run this row this tick.</t>
  </si>
  <si>
    <t>choice</t>
  </si>
  <si>
    <t>P, D</t>
  </si>
  <si>
    <t>P = production (steps 0-2 only), D = development (steps 0-4).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</si>
  <si>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</si>
  <si>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</si>
  <si>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</si>
  <si>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</si>
  <si>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</si>
  <si>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</si>
  <si>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</si>
  <si>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</si>
  <si>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</si>
  <si>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</si>
  <si>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</si>
  <si>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</si>
  <si>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</si>
  <si>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</si>
  <si>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</si>
  <si>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</si>
  <si>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</si>
  <si>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</si>
  <si>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</si>
  <si>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Absolute floor on qualifying tickers a group needs to dominate.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</si>
  <si>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</si>
  <si>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</si>
  <si>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</si>
  <si>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</si>
  <si>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</si>
  <si>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</si>
  <si>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</si>
  <si>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</si>
  <si>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</si>
  <si>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</si>
  <si>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</si>
  <si>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</si>
  <si>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</si>
  <si>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</si>
  <si>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</si>
  <si>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</si>
  <si>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</si>
  <si>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</si>
  <si>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Candidate pool (by label, comma-separated) for selection-skill scoring. Blank = every other active D-purpose row.</t>
  </si>
  <si>
    <t>beta3m</t>
  </si>
  <si>
    <t>PdivMA20</t>
  </si>
  <si>
    <t>per20d</t>
  </si>
  <si>
    <t>quot1020</t>
  </si>
  <si>
    <t>quot2050</t>
  </si>
  <si>
    <t>sh3m</t>
  </si>
  <si>
    <t>median_30d</t>
  </si>
  <si>
    <t>x</t>
  </si>
  <si>
    <t>Stamdata.ZONE</t>
  </si>
  <si>
    <t>Stamdata.Fkgrade</t>
  </si>
  <si>
    <t>vola20d</t>
  </si>
  <si>
    <t>metric</t>
  </si>
  <si>
    <t>StartDaynum</t>
  </si>
  <si>
    <t>EndDaynum</t>
  </si>
  <si>
    <t>N_hops</t>
  </si>
  <si>
    <t>N_hops_active</t>
  </si>
  <si>
    <t>avg_gain</t>
  </si>
  <si>
    <t>median_gain</t>
  </si>
  <si>
    <t>hit_rate%</t>
  </si>
  <si>
    <t>avg_alpha</t>
  </si>
  <si>
    <t>avg_beta</t>
  </si>
  <si>
    <t>chain_ret</t>
  </si>
  <si>
    <t>chain_annual</t>
  </si>
  <si>
    <t>chain_n</t>
  </si>
  <si>
    <t>origin_sens%</t>
  </si>
  <si>
    <t>N_loss</t>
  </si>
  <si>
    <t>Worst</t>
  </si>
  <si>
    <t>avg_partial_gain</t>
  </si>
  <si>
    <t>avg_partial_alpha</t>
  </si>
  <si>
    <t>n_open_hops</t>
  </si>
  <si>
    <t>n_stopped</t>
  </si>
  <si>
    <t>stop_net_per_position</t>
  </si>
  <si>
    <t>run_report</t>
  </si>
  <si>
    <t>Fkgr-median_30d(beta3m 1)</t>
  </si>
  <si>
    <t>run2_20260811.xlsx</t>
  </si>
  <si>
    <t>GICS-sh3m(beta3m 1)</t>
  </si>
  <si>
    <t>run4_20260811.xlsx</t>
  </si>
  <si>
    <t>GICS-spr100d(beta3m 1)</t>
  </si>
  <si>
    <t>run5_20260811.xlsx</t>
  </si>
  <si>
    <t>GICS-rank(beta3m 1)</t>
  </si>
  <si>
    <t>run16_20260811.xlsx</t>
  </si>
  <si>
    <t>Fkgr-beta3m(beta3m 1)</t>
  </si>
  <si>
    <t>run1_20260811.xlsx</t>
  </si>
  <si>
    <t>Fkgr-sh3m(beta3m 1)</t>
  </si>
  <si>
    <t>run12_20260811.xlsx</t>
  </si>
  <si>
    <t>GICS-PdivMA20(beta3m 1)</t>
  </si>
  <si>
    <t>run3_20260811.xlsx</t>
  </si>
  <si>
    <t>Fkgr-rank(beta3m 1)</t>
  </si>
  <si>
    <t>run10_20260811.xlsx</t>
  </si>
  <si>
    <t>Fkgr-vola20d(beta3m 1)</t>
  </si>
  <si>
    <t>run14_20260811.xlsx</t>
  </si>
  <si>
    <t>Fkgr-quot2050(beta3m 1)</t>
  </si>
  <si>
    <t>run9_20260811.xlsx</t>
  </si>
  <si>
    <t>Fkgr-PdivMA20(beta3m 1)</t>
  </si>
  <si>
    <t>run6_20260811.xlsx</t>
  </si>
  <si>
    <t>Fkgr-quot1020(beta3m 1)</t>
  </si>
  <si>
    <t>run8_20260811.xlsx</t>
  </si>
  <si>
    <t>GICS-beta3m(beta3m 1)</t>
  </si>
  <si>
    <t>run15_20260811.xlsx</t>
  </si>
  <si>
    <t>Fkgr-per20d(beta3m 1)</t>
  </si>
  <si>
    <t>run7_20260811.xlsx</t>
  </si>
  <si>
    <t>GICS-rsi(beta3m 1)</t>
  </si>
  <si>
    <t>run17_20260811.xlsx</t>
  </si>
  <si>
    <t>ZONE-quot2050(beta3m 1)</t>
  </si>
  <si>
    <t>run18_20260811.xlsx</t>
  </si>
  <si>
    <t>Fkgr-rsi(beta3m 1)</t>
  </si>
  <si>
    <t>run11_20260811.xlsx</t>
  </si>
  <si>
    <t>ZONE-sh3m(beta3m 1)</t>
  </si>
  <si>
    <t>run19_20260811.xlsx</t>
  </si>
  <si>
    <t>Fkgr-spr100d(beta3m 1)</t>
  </si>
  <si>
    <t>run13_20260811.xlsx</t>
  </si>
  <si>
    <t>ZONE-spr100d(beta3m 1)</t>
  </si>
  <si>
    <t>run20_20260811.xlsx</t>
  </si>
  <si>
    <t>avgGain</t>
  </si>
  <si>
    <t>avgGain2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</si>
</sst>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Calibri"/>
    </font>
    <font>
      <i/>
      <sz val="9"/>
      <color rgb="FF595959"/>
      <name val="Calibri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9" borderId="0" xfId="0" applyFill="1"/>
    <xf numFmtId="164" fontId="0" fillId="0" borderId="0" xfId="0" applyNumberFormat="1"/>
    <xf numFmtId="0" fontId="0" fillId="0" borderId="1" xfId="0" applyBorder="1"/>
    <xf numFmtId="0" fontId="4" fillId="0" borderId="0" xfId="0" applyFont="1"/>
    <xf numFmtId="0" fontId="4" fillId="8" borderId="0" xfId="0" applyFont="1" applyFill="1"/>
    <xf numFmtId="0" fontId="5" fillId="0" borderId="0" xfId="0" applyFont="1"/>
    <xf numFmtId="1" fontId="0" fillId="0" borderId="0" xfId="0" applyNumberFormat="1"/>
    <xf numFmtId="2" fontId="0" fillId="0" borderId="0" xfId="0" applyNumberFormat="1"/>
    <xf numFmtId="1" fontId="0" fillId="10" borderId="0" xfId="0" applyNumberFormat="1" applyFill="1"/>
    <xf numFmtId="2" fontId="6" fillId="0" borderId="0" xfId="0" applyNumberFormat="1" applyFont="1"/>
    <xf numFmtId="0" fontId="0" fillId="0" borderId="0" xfId="0" applyBorder="1"/>
    <xf numFmtId="0" fontId="0" fillId="9" borderId="1" xfId="0" applyFill="1" applyBorder="1"/>
    <xf numFmtId="0" fontId="4" fillId="11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4"/>
  <sheetViews>
    <sheetView workbookViewId="0">
      <pane ySplit="1" topLeftCell="A2" activePane="bottomLeft" state="frozen"/>
      <selection pane="bottomLeft" activeCell="C22" sqref="C22"/>
    </sheetView>
  </sheetViews>
  <sheetFormatPr defaultRowHeight="15" x14ac:dyDescent="0.25"/>
  <cols>
    <col min="1" max="1" width="7.5703125" customWidth="1"/>
    <col min="2" max="2" width="8.85546875" customWidth="1"/>
    <col min="3" max="3" width="28.42578125" customWidth="1"/>
    <col min="4" max="4" width="8" customWidth="1"/>
    <col min="6" max="6" width="39.140625" customWidth="1"/>
    <col min="7" max="7" width="7.140625" customWidth="1"/>
    <col min="8" max="8" width="18.7109375" customWidth="1"/>
    <col min="9" max="14" width="18" customWidth="1"/>
    <col min="15" max="15" width="49" customWidth="1"/>
    <col min="16" max="17" width="18" customWidth="1"/>
    <col min="18" max="18" width="10.5703125" customWidth="1"/>
    <col min="19" max="21" width="18" customWidth="1"/>
    <col min="22" max="22" width="48.42578125" customWidth="1"/>
    <col min="23" max="24" width="18" customWidth="1"/>
  </cols>
  <sheetData>
    <row r="1" spans="1:24" x14ac:dyDescent="0.25">
      <c r="A1" s="1" t="s">
        <v>0</v>
      </c>
      <c r="B1" s="1" t="s">
        <v>1</v>
      </c>
      <c r="C1" s="1" t="s">
        <v>2</v>
      </c>
      <c r="D1" s="1" t="s">
        <v>173</v>
      </c>
      <c r="E1" s="1" t="s">
        <v>174</v>
      </c>
      <c r="F1" s="2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6" t="s">
        <v>22</v>
      </c>
    </row>
    <row r="2" spans="1:24" x14ac:dyDescent="0.25">
      <c r="A2" t="s">
        <v>107</v>
      </c>
      <c r="B2" t="s">
        <v>23</v>
      </c>
      <c r="C2" t="str">
        <f>MID(F2,10,4)&amp;"-"&amp;J2&amp;"("&amp;P2&amp;" "&amp;R2&amp;")"</f>
        <v>GICS-beta3m(beta3m 1)</v>
      </c>
      <c r="D2" s="10">
        <f>VLOOKUP($C2,RA_1,18,0)</f>
        <v>6.0366999999999997</v>
      </c>
      <c r="E2" s="10">
        <f>VLOOKUP($C2,RA_2,18,0)</f>
        <v>8.4964999999999993</v>
      </c>
      <c r="F2" t="s">
        <v>24</v>
      </c>
      <c r="G2" t="s">
        <v>25</v>
      </c>
      <c r="J2" t="s">
        <v>100</v>
      </c>
      <c r="K2" t="s">
        <v>27</v>
      </c>
      <c r="L2">
        <v>0.1</v>
      </c>
      <c r="M2">
        <v>10</v>
      </c>
      <c r="N2">
        <v>4</v>
      </c>
      <c r="P2" t="s">
        <v>100</v>
      </c>
      <c r="Q2" t="s">
        <v>27</v>
      </c>
      <c r="R2">
        <v>1</v>
      </c>
      <c r="S2">
        <v>3</v>
      </c>
      <c r="T2">
        <v>20</v>
      </c>
      <c r="U2">
        <v>0</v>
      </c>
      <c r="V2" t="s">
        <v>28</v>
      </c>
      <c r="W2">
        <v>0</v>
      </c>
    </row>
    <row r="3" spans="1:24" x14ac:dyDescent="0.25">
      <c r="A3" t="s">
        <v>107</v>
      </c>
      <c r="B3" t="s">
        <v>23</v>
      </c>
      <c r="C3" t="str">
        <f>MID(F3,10,4)&amp;"-"&amp;J3&amp;"("&amp;P3&amp;" "&amp;R3&amp;")"</f>
        <v>GICS-sh3m(beta3m 1)</v>
      </c>
      <c r="D3" s="10">
        <f>VLOOKUP($C3,RA_1,18,0)</f>
        <v>6.6062000000000003</v>
      </c>
      <c r="E3" s="10">
        <f>VLOOKUP($C3,RA_2,18,0)</f>
        <v>8.1920000000000002</v>
      </c>
      <c r="F3" t="s">
        <v>24</v>
      </c>
      <c r="G3" t="s">
        <v>25</v>
      </c>
      <c r="J3" t="s">
        <v>105</v>
      </c>
      <c r="K3" t="s">
        <v>27</v>
      </c>
      <c r="L3">
        <v>0.1</v>
      </c>
      <c r="M3">
        <v>10</v>
      </c>
      <c r="N3">
        <v>4</v>
      </c>
      <c r="P3" t="s">
        <v>100</v>
      </c>
      <c r="Q3" t="s">
        <v>27</v>
      </c>
      <c r="R3">
        <v>1</v>
      </c>
      <c r="S3">
        <v>3</v>
      </c>
      <c r="T3">
        <v>20</v>
      </c>
      <c r="U3">
        <v>0</v>
      </c>
      <c r="V3" t="s">
        <v>28</v>
      </c>
      <c r="W3">
        <v>0</v>
      </c>
    </row>
    <row r="4" spans="1:24" x14ac:dyDescent="0.25">
      <c r="A4" t="s">
        <v>107</v>
      </c>
      <c r="B4" t="s">
        <v>23</v>
      </c>
      <c r="C4" t="str">
        <f>MID(F4,10,4)&amp;"-"&amp;J4&amp;"("&amp;P4&amp;" "&amp;R4&amp;")"</f>
        <v>GICS-rank(beta3m 1)</v>
      </c>
      <c r="D4" s="10">
        <f>VLOOKUP($C4,RA_1,18,0)</f>
        <v>6.4134000000000002</v>
      </c>
      <c r="E4" s="10">
        <f>VLOOKUP($C4,RA_2,18,0)</f>
        <v>7.4447000000000001</v>
      </c>
      <c r="F4" t="s">
        <v>24</v>
      </c>
      <c r="G4" t="s">
        <v>25</v>
      </c>
      <c r="J4" t="s">
        <v>28</v>
      </c>
      <c r="K4" t="s">
        <v>29</v>
      </c>
      <c r="L4">
        <v>0.1</v>
      </c>
      <c r="M4">
        <v>10</v>
      </c>
      <c r="N4">
        <v>4</v>
      </c>
      <c r="P4" t="s">
        <v>100</v>
      </c>
      <c r="Q4" t="s">
        <v>27</v>
      </c>
      <c r="R4">
        <v>1</v>
      </c>
      <c r="S4">
        <v>3</v>
      </c>
      <c r="T4">
        <v>20</v>
      </c>
      <c r="U4">
        <v>0</v>
      </c>
      <c r="V4" t="s">
        <v>28</v>
      </c>
      <c r="W4">
        <v>0</v>
      </c>
    </row>
    <row r="5" spans="1:24" x14ac:dyDescent="0.25">
      <c r="A5" t="s">
        <v>107</v>
      </c>
      <c r="B5" t="s">
        <v>23</v>
      </c>
      <c r="C5" t="str">
        <f>MID(F5,10,4)&amp;"-"&amp;J5&amp;"("&amp;P5&amp;" "&amp;R5&amp;")"</f>
        <v>GICS-spr100d(beta3m 1)</v>
      </c>
      <c r="D5" s="10">
        <f>VLOOKUP($C5,RA_1,18,0)</f>
        <v>6.7283999999999997</v>
      </c>
      <c r="E5" s="10">
        <f>VLOOKUP($C5,RA_2,18,0)</f>
        <v>7.2302999999999997</v>
      </c>
      <c r="F5" t="s">
        <v>24</v>
      </c>
      <c r="G5" t="s">
        <v>25</v>
      </c>
      <c r="J5" t="s">
        <v>30</v>
      </c>
      <c r="K5" t="s">
        <v>29</v>
      </c>
      <c r="L5">
        <v>0.1</v>
      </c>
      <c r="M5">
        <v>10</v>
      </c>
      <c r="N5">
        <v>4</v>
      </c>
      <c r="P5" t="s">
        <v>100</v>
      </c>
      <c r="Q5" t="s">
        <v>27</v>
      </c>
      <c r="R5">
        <v>1</v>
      </c>
      <c r="S5">
        <v>3</v>
      </c>
      <c r="T5">
        <v>20</v>
      </c>
      <c r="U5">
        <v>0</v>
      </c>
      <c r="V5" t="s">
        <v>28</v>
      </c>
      <c r="W5">
        <v>0</v>
      </c>
    </row>
    <row r="6" spans="1:24" x14ac:dyDescent="0.25">
      <c r="A6" t="s">
        <v>107</v>
      </c>
      <c r="B6" t="s">
        <v>23</v>
      </c>
      <c r="C6" t="str">
        <f>MID(F6,10,4)&amp;"-"&amp;J6&amp;"("&amp;P6&amp;" "&amp;R6&amp;")"</f>
        <v>Fkgr-median_30d(beta3m 1)</v>
      </c>
      <c r="D6" s="10">
        <f>VLOOKUP($C6,RA_1,18,0)</f>
        <v>6.7065999999999999</v>
      </c>
      <c r="E6" s="10">
        <f>VLOOKUP($C6,RA_2,18,0)</f>
        <v>7.1721000000000004</v>
      </c>
      <c r="F6" s="9" t="s">
        <v>109</v>
      </c>
      <c r="G6" t="s">
        <v>25</v>
      </c>
      <c r="J6" t="s">
        <v>106</v>
      </c>
      <c r="K6" t="s">
        <v>29</v>
      </c>
      <c r="L6">
        <v>0.1</v>
      </c>
      <c r="M6">
        <v>10</v>
      </c>
      <c r="N6">
        <v>4</v>
      </c>
      <c r="P6" t="s">
        <v>100</v>
      </c>
      <c r="Q6" t="s">
        <v>27</v>
      </c>
      <c r="R6">
        <v>1</v>
      </c>
      <c r="S6">
        <v>3</v>
      </c>
      <c r="T6">
        <v>20</v>
      </c>
      <c r="U6">
        <v>0</v>
      </c>
      <c r="V6" t="s">
        <v>28</v>
      </c>
      <c r="W6">
        <v>0</v>
      </c>
    </row>
    <row r="7" spans="1:24" x14ac:dyDescent="0.25">
      <c r="A7" t="s">
        <v>107</v>
      </c>
      <c r="B7" t="s">
        <v>23</v>
      </c>
      <c r="C7" t="str">
        <f>MID(F7,10,4)&amp;"-"&amp;J7&amp;"("&amp;P7&amp;" "&amp;R7&amp;")"</f>
        <v>GICS-PdivMA20(beta3m 1)</v>
      </c>
      <c r="D7" s="10">
        <f>VLOOKUP($C7,RA_1,18,0)</f>
        <v>6.3537999999999997</v>
      </c>
      <c r="E7" s="10">
        <f>VLOOKUP($C7,RA_2,18,0)</f>
        <v>7.1719999999999997</v>
      </c>
      <c r="F7" t="s">
        <v>24</v>
      </c>
      <c r="G7" t="s">
        <v>25</v>
      </c>
      <c r="J7" t="s">
        <v>101</v>
      </c>
      <c r="K7" t="s">
        <v>27</v>
      </c>
      <c r="L7">
        <v>0.1</v>
      </c>
      <c r="M7">
        <v>10</v>
      </c>
      <c r="N7">
        <v>4</v>
      </c>
      <c r="P7" t="s">
        <v>100</v>
      </c>
      <c r="Q7" t="s">
        <v>27</v>
      </c>
      <c r="R7">
        <v>1</v>
      </c>
      <c r="S7">
        <v>3</v>
      </c>
      <c r="T7">
        <v>20</v>
      </c>
      <c r="U7">
        <v>0</v>
      </c>
      <c r="V7" t="s">
        <v>28</v>
      </c>
      <c r="W7">
        <v>0</v>
      </c>
    </row>
    <row r="8" spans="1:24" x14ac:dyDescent="0.25">
      <c r="A8" t="s">
        <v>107</v>
      </c>
      <c r="B8" t="s">
        <v>23</v>
      </c>
      <c r="C8" t="str">
        <f>MID(F8,10,4)&amp;"-"&amp;J8&amp;"("&amp;P8&amp;" "&amp;R8&amp;")"</f>
        <v>Fkgr-sh3m(beta3m 1)</v>
      </c>
      <c r="D8" s="10">
        <f>VLOOKUP($C8,RA_1,18,0)</f>
        <v>6.3689999999999998</v>
      </c>
      <c r="E8" s="10">
        <f>VLOOKUP($C8,RA_2,18,0)</f>
        <v>7.0606</v>
      </c>
      <c r="F8" s="9" t="s">
        <v>109</v>
      </c>
      <c r="G8" t="s">
        <v>25</v>
      </c>
      <c r="J8" t="s">
        <v>105</v>
      </c>
      <c r="K8" t="s">
        <v>27</v>
      </c>
      <c r="L8">
        <v>0.1</v>
      </c>
      <c r="M8">
        <v>10</v>
      </c>
      <c r="N8">
        <v>4</v>
      </c>
      <c r="P8" t="s">
        <v>100</v>
      </c>
      <c r="Q8" t="s">
        <v>27</v>
      </c>
      <c r="R8">
        <v>1</v>
      </c>
      <c r="S8">
        <v>3</v>
      </c>
      <c r="T8">
        <v>20</v>
      </c>
      <c r="U8">
        <v>0</v>
      </c>
      <c r="V8" t="s">
        <v>28</v>
      </c>
      <c r="W8">
        <v>0</v>
      </c>
    </row>
    <row r="9" spans="1:24" x14ac:dyDescent="0.25">
      <c r="A9" t="s">
        <v>107</v>
      </c>
      <c r="B9" t="s">
        <v>23</v>
      </c>
      <c r="C9" t="str">
        <f>MID(F9,10,4)&amp;"-"&amp;J9&amp;"("&amp;P9&amp;" "&amp;R9&amp;")"</f>
        <v>Fkgr-beta3m(beta3m 1)</v>
      </c>
      <c r="D9" s="10">
        <f>VLOOKUP($C9,RA_1,18,0)</f>
        <v>6.3688000000000002</v>
      </c>
      <c r="E9" s="10">
        <f>VLOOKUP($C9,RA_2,18,0)</f>
        <v>7.0221999999999998</v>
      </c>
      <c r="F9" s="9" t="s">
        <v>109</v>
      </c>
      <c r="G9" t="s">
        <v>25</v>
      </c>
      <c r="J9" t="s">
        <v>100</v>
      </c>
      <c r="K9" t="s">
        <v>27</v>
      </c>
      <c r="L9">
        <v>0.1</v>
      </c>
      <c r="M9">
        <v>10</v>
      </c>
      <c r="N9">
        <v>4</v>
      </c>
      <c r="P9" t="s">
        <v>100</v>
      </c>
      <c r="Q9" t="s">
        <v>27</v>
      </c>
      <c r="R9">
        <v>1</v>
      </c>
      <c r="S9">
        <v>3</v>
      </c>
      <c r="T9">
        <v>20</v>
      </c>
      <c r="U9">
        <v>0</v>
      </c>
      <c r="V9" t="s">
        <v>28</v>
      </c>
      <c r="W9">
        <v>0</v>
      </c>
    </row>
    <row r="10" spans="1:24" x14ac:dyDescent="0.25">
      <c r="A10" t="s">
        <v>107</v>
      </c>
      <c r="B10" t="s">
        <v>23</v>
      </c>
      <c r="C10" t="str">
        <f>MID(F10,10,4)&amp;"-"&amp;J10&amp;"("&amp;P10&amp;" "&amp;R10&amp;")"</f>
        <v>ZONE-sh3m(beta3m 1)</v>
      </c>
      <c r="D10" s="10">
        <f>VLOOKUP($C10,RA_1,18,0)</f>
        <v>5.0701999999999998</v>
      </c>
      <c r="E10" s="10">
        <f>VLOOKUP($C10,RA_2,18,0)</f>
        <v>7.0221999999999998</v>
      </c>
      <c r="F10" t="s">
        <v>108</v>
      </c>
      <c r="G10" t="s">
        <v>25</v>
      </c>
      <c r="J10" t="s">
        <v>105</v>
      </c>
      <c r="K10" t="s">
        <v>27</v>
      </c>
      <c r="L10">
        <v>0.1</v>
      </c>
      <c r="M10">
        <v>10</v>
      </c>
      <c r="N10">
        <v>4</v>
      </c>
      <c r="P10" t="s">
        <v>100</v>
      </c>
      <c r="Q10" t="s">
        <v>27</v>
      </c>
      <c r="R10">
        <v>1</v>
      </c>
      <c r="S10">
        <v>3</v>
      </c>
      <c r="T10">
        <v>20</v>
      </c>
      <c r="U10">
        <v>0</v>
      </c>
      <c r="V10" t="s">
        <v>28</v>
      </c>
      <c r="W10">
        <v>0</v>
      </c>
    </row>
    <row r="11" spans="1:24" x14ac:dyDescent="0.25">
      <c r="A11" t="s">
        <v>107</v>
      </c>
      <c r="B11" t="s">
        <v>23</v>
      </c>
      <c r="C11" t="str">
        <f>MID(F11,10,4)&amp;"-"&amp;J11&amp;"("&amp;P11&amp;" "&amp;R11&amp;")"</f>
        <v>ZONE-quot2050(beta3m 1)</v>
      </c>
      <c r="D11" s="10">
        <f>VLOOKUP($C11,RA_1,18,0)</f>
        <v>4.8780999999999999</v>
      </c>
      <c r="E11" s="10">
        <f>VLOOKUP($C11,RA_2,18,0)</f>
        <v>7.0221999999999998</v>
      </c>
      <c r="F11" t="s">
        <v>108</v>
      </c>
      <c r="G11" t="s">
        <v>25</v>
      </c>
      <c r="J11" t="s">
        <v>104</v>
      </c>
      <c r="K11" t="s">
        <v>27</v>
      </c>
      <c r="L11">
        <v>0.1</v>
      </c>
      <c r="M11">
        <v>10</v>
      </c>
      <c r="N11">
        <v>4</v>
      </c>
      <c r="P11" t="s">
        <v>100</v>
      </c>
      <c r="Q11" t="s">
        <v>27</v>
      </c>
      <c r="R11">
        <v>1</v>
      </c>
      <c r="S11">
        <v>3</v>
      </c>
      <c r="T11">
        <v>20</v>
      </c>
      <c r="U11">
        <v>0</v>
      </c>
      <c r="V11" t="s">
        <v>28</v>
      </c>
      <c r="W11">
        <v>0</v>
      </c>
    </row>
    <row r="12" spans="1:24" x14ac:dyDescent="0.25">
      <c r="A12" t="s">
        <v>107</v>
      </c>
      <c r="B12" s="19" t="s">
        <v>23</v>
      </c>
      <c r="C12" t="str">
        <f>MID(F12,10,4)&amp;"-"&amp;J12&amp;"("&amp;P12&amp;" "&amp;R12&amp;")"</f>
        <v>ZONE-spr100d(beta3m 1)</v>
      </c>
      <c r="D12" s="10">
        <f>VLOOKUP($C12,RA_1,18,0)</f>
        <v>4.7754000000000003</v>
      </c>
      <c r="E12" s="10">
        <f>VLOOKUP($C12,RA_2,18,0)</f>
        <v>7.0080999999999998</v>
      </c>
      <c r="F12" s="19" t="s">
        <v>108</v>
      </c>
      <c r="G12" t="s">
        <v>25</v>
      </c>
      <c r="J12" s="19" t="s">
        <v>30</v>
      </c>
      <c r="K12" s="19" t="s">
        <v>29</v>
      </c>
      <c r="L12">
        <v>0.1</v>
      </c>
      <c r="M12">
        <v>10</v>
      </c>
      <c r="N12">
        <v>4</v>
      </c>
      <c r="P12" s="19" t="s">
        <v>100</v>
      </c>
      <c r="Q12" s="19" t="s">
        <v>27</v>
      </c>
      <c r="R12" s="19">
        <v>1</v>
      </c>
      <c r="S12">
        <v>3</v>
      </c>
      <c r="T12">
        <v>20</v>
      </c>
      <c r="U12">
        <v>0</v>
      </c>
      <c r="V12" t="s">
        <v>28</v>
      </c>
      <c r="W12" s="19">
        <v>0</v>
      </c>
      <c r="X12" s="19"/>
    </row>
    <row r="13" spans="1:24" x14ac:dyDescent="0.25">
      <c r="A13" t="s">
        <v>107</v>
      </c>
      <c r="B13" t="s">
        <v>23</v>
      </c>
      <c r="C13" t="str">
        <f>MID(F13,10,4)&amp;"-"&amp;J13&amp;"("&amp;P13&amp;" "&amp;R13&amp;")"</f>
        <v>Fkgr-quot2050(beta3m 1)</v>
      </c>
      <c r="D13" s="10">
        <f>VLOOKUP($C13,RA_1,18,0)</f>
        <v>6.2206000000000001</v>
      </c>
      <c r="E13" s="10">
        <f>VLOOKUP($C13,RA_2,18,0)</f>
        <v>6.9881000000000002</v>
      </c>
      <c r="F13" s="9" t="s">
        <v>109</v>
      </c>
      <c r="G13" t="s">
        <v>25</v>
      </c>
      <c r="J13" t="s">
        <v>104</v>
      </c>
      <c r="K13" t="s">
        <v>27</v>
      </c>
      <c r="L13">
        <v>0.1</v>
      </c>
      <c r="M13">
        <v>10</v>
      </c>
      <c r="N13">
        <v>4</v>
      </c>
      <c r="P13" t="s">
        <v>100</v>
      </c>
      <c r="Q13" t="s">
        <v>27</v>
      </c>
      <c r="R13">
        <v>1</v>
      </c>
      <c r="S13">
        <v>3</v>
      </c>
      <c r="T13">
        <v>20</v>
      </c>
      <c r="U13">
        <v>0</v>
      </c>
      <c r="V13" t="s">
        <v>28</v>
      </c>
      <c r="W13">
        <v>0</v>
      </c>
    </row>
    <row r="14" spans="1:24" x14ac:dyDescent="0.25">
      <c r="A14" t="s">
        <v>107</v>
      </c>
      <c r="B14" t="s">
        <v>23</v>
      </c>
      <c r="C14" t="str">
        <f>MID(F14,10,4)&amp;"-"&amp;J14&amp;"("&amp;P14&amp;" "&amp;R14&amp;")"</f>
        <v>Fkgr-rank(beta3m 1)</v>
      </c>
      <c r="D14" s="10">
        <f>VLOOKUP($C14,RA_1,18,0)</f>
        <v>6.2732000000000001</v>
      </c>
      <c r="E14" s="10">
        <f>VLOOKUP($C14,RA_2,18,0)</f>
        <v>6.8539000000000003</v>
      </c>
      <c r="F14" s="9" t="s">
        <v>109</v>
      </c>
      <c r="G14" t="s">
        <v>25</v>
      </c>
      <c r="J14" t="s">
        <v>28</v>
      </c>
      <c r="K14" t="s">
        <v>29</v>
      </c>
      <c r="L14">
        <v>0.1</v>
      </c>
      <c r="M14">
        <v>10</v>
      </c>
      <c r="N14">
        <v>4</v>
      </c>
      <c r="P14" t="s">
        <v>100</v>
      </c>
      <c r="Q14" t="s">
        <v>27</v>
      </c>
      <c r="R14">
        <v>1</v>
      </c>
      <c r="S14">
        <v>3</v>
      </c>
      <c r="T14">
        <v>20</v>
      </c>
      <c r="U14">
        <v>0</v>
      </c>
      <c r="V14" t="s">
        <v>28</v>
      </c>
      <c r="W14">
        <v>0</v>
      </c>
    </row>
    <row r="15" spans="1:24" x14ac:dyDescent="0.25">
      <c r="A15" t="s">
        <v>107</v>
      </c>
      <c r="B15" t="s">
        <v>23</v>
      </c>
      <c r="C15" t="str">
        <f>MID(F15,10,4)&amp;"-"&amp;J15&amp;"("&amp;P15&amp;" "&amp;R15&amp;")"</f>
        <v>Fkgr-vola20d(beta3m 1)</v>
      </c>
      <c r="D15" s="10">
        <f>VLOOKUP($C15,RA_1,18,0)</f>
        <v>6.2514000000000003</v>
      </c>
      <c r="E15" s="10">
        <f>VLOOKUP($C15,RA_2,18,0)</f>
        <v>6.7615999999999996</v>
      </c>
      <c r="F15" s="9" t="s">
        <v>109</v>
      </c>
      <c r="G15" t="s">
        <v>25</v>
      </c>
      <c r="J15" t="s">
        <v>110</v>
      </c>
      <c r="K15" t="s">
        <v>27</v>
      </c>
      <c r="L15">
        <v>0.1</v>
      </c>
      <c r="M15">
        <v>10</v>
      </c>
      <c r="N15">
        <v>4</v>
      </c>
      <c r="P15" t="s">
        <v>100</v>
      </c>
      <c r="Q15" t="s">
        <v>27</v>
      </c>
      <c r="R15">
        <v>1</v>
      </c>
      <c r="S15">
        <v>3</v>
      </c>
      <c r="T15">
        <v>20</v>
      </c>
      <c r="U15">
        <v>0</v>
      </c>
      <c r="V15" t="s">
        <v>28</v>
      </c>
      <c r="W15">
        <v>0</v>
      </c>
    </row>
    <row r="16" spans="1:24" x14ac:dyDescent="0.25">
      <c r="A16" t="s">
        <v>107</v>
      </c>
      <c r="B16" t="s">
        <v>23</v>
      </c>
      <c r="C16" t="str">
        <f>MID(F16,10,4)&amp;"-"&amp;J16&amp;"("&amp;P16&amp;" "&amp;R16&amp;")"</f>
        <v>Fkgr-PdivMA20(beta3m 1)</v>
      </c>
      <c r="D16" s="10">
        <f>VLOOKUP($C16,RA_1,18,0)</f>
        <v>6.0716000000000001</v>
      </c>
      <c r="E16" s="10">
        <f>VLOOKUP($C16,RA_2,18,0)</f>
        <v>6.6946000000000003</v>
      </c>
      <c r="F16" s="9" t="s">
        <v>109</v>
      </c>
      <c r="G16" t="s">
        <v>25</v>
      </c>
      <c r="J16" t="s">
        <v>101</v>
      </c>
      <c r="K16" t="s">
        <v>27</v>
      </c>
      <c r="L16">
        <v>0.1</v>
      </c>
      <c r="M16">
        <v>10</v>
      </c>
      <c r="N16">
        <v>4</v>
      </c>
      <c r="P16" t="s">
        <v>100</v>
      </c>
      <c r="Q16" t="s">
        <v>27</v>
      </c>
      <c r="R16">
        <v>1</v>
      </c>
      <c r="S16">
        <v>3</v>
      </c>
      <c r="T16">
        <v>20</v>
      </c>
      <c r="U16">
        <v>0</v>
      </c>
      <c r="V16" t="s">
        <v>28</v>
      </c>
      <c r="W16">
        <v>0</v>
      </c>
    </row>
    <row r="17" spans="1:23" x14ac:dyDescent="0.25">
      <c r="A17" t="s">
        <v>107</v>
      </c>
      <c r="B17" t="s">
        <v>23</v>
      </c>
      <c r="C17" t="str">
        <f>MID(F17,10,4)&amp;"-"&amp;J17&amp;"("&amp;P17&amp;" "&amp;R17&amp;")"</f>
        <v>GICS-rsi(beta3m 1)</v>
      </c>
      <c r="D17" s="10">
        <f>VLOOKUP($C17,RA_1,18,0)</f>
        <v>5.9362000000000004</v>
      </c>
      <c r="E17" s="10">
        <f>VLOOKUP($C17,RA_2,18,0)</f>
        <v>6.5875000000000004</v>
      </c>
      <c r="F17" t="s">
        <v>24</v>
      </c>
      <c r="G17" t="s">
        <v>25</v>
      </c>
      <c r="J17" t="s">
        <v>26</v>
      </c>
      <c r="K17" t="s">
        <v>27</v>
      </c>
      <c r="L17">
        <v>0.1</v>
      </c>
      <c r="M17">
        <v>10</v>
      </c>
      <c r="N17">
        <v>4</v>
      </c>
      <c r="P17" t="s">
        <v>100</v>
      </c>
      <c r="Q17" t="s">
        <v>27</v>
      </c>
      <c r="R17">
        <v>1</v>
      </c>
      <c r="S17">
        <v>3</v>
      </c>
      <c r="T17">
        <v>20</v>
      </c>
      <c r="U17">
        <v>0</v>
      </c>
      <c r="V17" t="s">
        <v>28</v>
      </c>
      <c r="W17">
        <v>0</v>
      </c>
    </row>
    <row r="18" spans="1:23" x14ac:dyDescent="0.25">
      <c r="A18" t="s">
        <v>107</v>
      </c>
      <c r="B18" t="s">
        <v>23</v>
      </c>
      <c r="C18" t="str">
        <f>MID(F18,10,4)&amp;"-"&amp;J18&amp;"("&amp;P18&amp;" "&amp;R18&amp;")"</f>
        <v>Fkgr-quot1020(beta3m 1)</v>
      </c>
      <c r="D18" s="10">
        <f>VLOOKUP($C18,RA_1,18,0)</f>
        <v>6.0533000000000001</v>
      </c>
      <c r="E18" s="10">
        <f>VLOOKUP($C18,RA_2,18,0)</f>
        <v>6.5697000000000001</v>
      </c>
      <c r="F18" s="9" t="s">
        <v>109</v>
      </c>
      <c r="G18" t="s">
        <v>25</v>
      </c>
      <c r="J18" t="s">
        <v>103</v>
      </c>
      <c r="K18" t="s">
        <v>27</v>
      </c>
      <c r="L18">
        <v>0.1</v>
      </c>
      <c r="M18">
        <v>10</v>
      </c>
      <c r="N18">
        <v>4</v>
      </c>
      <c r="P18" t="s">
        <v>100</v>
      </c>
      <c r="Q18" t="s">
        <v>27</v>
      </c>
      <c r="R18">
        <v>1</v>
      </c>
      <c r="S18">
        <v>3</v>
      </c>
      <c r="T18">
        <v>20</v>
      </c>
      <c r="U18">
        <v>0</v>
      </c>
      <c r="V18" t="s">
        <v>28</v>
      </c>
      <c r="W18">
        <v>0</v>
      </c>
    </row>
    <row r="19" spans="1:23" x14ac:dyDescent="0.25">
      <c r="A19" t="s">
        <v>107</v>
      </c>
      <c r="B19" t="s">
        <v>23</v>
      </c>
      <c r="C19" t="str">
        <f>MID(F19,10,4)&amp;"-"&amp;J19&amp;"("&amp;P19&amp;" "&amp;R19&amp;")"</f>
        <v>Fkgr-per20d(beta3m 1)</v>
      </c>
      <c r="D19" s="10">
        <f>VLOOKUP($C19,RA_1,18,0)</f>
        <v>6.0168999999999997</v>
      </c>
      <c r="E19" s="10">
        <f>VLOOKUP($C19,RA_2,18,0)</f>
        <v>6.5591999999999997</v>
      </c>
      <c r="F19" s="9" t="s">
        <v>109</v>
      </c>
      <c r="G19" t="s">
        <v>25</v>
      </c>
      <c r="J19" t="s">
        <v>102</v>
      </c>
      <c r="K19" t="s">
        <v>27</v>
      </c>
      <c r="L19">
        <v>0.1</v>
      </c>
      <c r="M19">
        <v>10</v>
      </c>
      <c r="N19">
        <v>4</v>
      </c>
      <c r="P19" t="s">
        <v>100</v>
      </c>
      <c r="Q19" t="s">
        <v>27</v>
      </c>
      <c r="R19">
        <v>1</v>
      </c>
      <c r="S19">
        <v>3</v>
      </c>
      <c r="T19">
        <v>20</v>
      </c>
      <c r="U19">
        <v>0</v>
      </c>
      <c r="V19" t="s">
        <v>28</v>
      </c>
      <c r="W19">
        <v>0</v>
      </c>
    </row>
    <row r="20" spans="1:23" x14ac:dyDescent="0.25">
      <c r="A20" t="s">
        <v>107</v>
      </c>
      <c r="B20" t="s">
        <v>23</v>
      </c>
      <c r="C20" t="str">
        <f>MID(F20,10,4)&amp;"-"&amp;J20&amp;"("&amp;P20&amp;" "&amp;R20&amp;")"</f>
        <v>Fkgr-rsi(beta3m 1)</v>
      </c>
      <c r="D20" s="10">
        <f>VLOOKUP($C20,RA_1,18,0)</f>
        <v>5.1589</v>
      </c>
      <c r="E20" s="10">
        <f>VLOOKUP($C20,RA_2,18,0)</f>
        <v>5.4317000000000002</v>
      </c>
      <c r="F20" s="9" t="s">
        <v>109</v>
      </c>
      <c r="G20" t="s">
        <v>25</v>
      </c>
      <c r="J20" t="s">
        <v>26</v>
      </c>
      <c r="K20" t="s">
        <v>27</v>
      </c>
      <c r="L20">
        <v>0.1</v>
      </c>
      <c r="M20">
        <v>10</v>
      </c>
      <c r="N20">
        <v>4</v>
      </c>
      <c r="P20" t="s">
        <v>100</v>
      </c>
      <c r="Q20" t="s">
        <v>27</v>
      </c>
      <c r="R20">
        <v>1</v>
      </c>
      <c r="S20">
        <v>3</v>
      </c>
      <c r="T20">
        <v>20</v>
      </c>
      <c r="U20">
        <v>0</v>
      </c>
      <c r="V20" t="s">
        <v>28</v>
      </c>
      <c r="W20">
        <v>0</v>
      </c>
    </row>
    <row r="21" spans="1:23" s="11" customFormat="1" x14ac:dyDescent="0.25">
      <c r="A21" t="s">
        <v>107</v>
      </c>
      <c r="B21" s="11" t="s">
        <v>23</v>
      </c>
      <c r="C21" t="str">
        <f>MID(F21,10,4)&amp;"-"&amp;J21&amp;"("&amp;P21&amp;" "&amp;R21&amp;")"</f>
        <v>Fkgr-spr100d(beta3m 1)</v>
      </c>
      <c r="D21" s="10">
        <f>VLOOKUP($C21,RA_1,18,0)</f>
        <v>5.4964000000000004</v>
      </c>
      <c r="E21" s="10">
        <f>VLOOKUP($C21,RA_2,18,0)</f>
        <v>5.2480000000000002</v>
      </c>
      <c r="F21" s="20" t="s">
        <v>109</v>
      </c>
      <c r="G21" t="s">
        <v>25</v>
      </c>
      <c r="H21"/>
      <c r="I21"/>
      <c r="J21" s="11" t="s">
        <v>30</v>
      </c>
      <c r="K21" s="11" t="s">
        <v>29</v>
      </c>
      <c r="L21">
        <v>0.1</v>
      </c>
      <c r="M21">
        <v>10</v>
      </c>
      <c r="N21">
        <v>4</v>
      </c>
      <c r="O21"/>
      <c r="P21" s="11" t="s">
        <v>100</v>
      </c>
      <c r="Q21" s="11" t="s">
        <v>27</v>
      </c>
      <c r="R21" s="11">
        <v>1</v>
      </c>
      <c r="S21">
        <v>3</v>
      </c>
      <c r="T21">
        <v>20</v>
      </c>
      <c r="U21">
        <v>0</v>
      </c>
      <c r="V21" t="s">
        <v>28</v>
      </c>
      <c r="W21" s="11">
        <v>0</v>
      </c>
    </row>
    <row r="22" spans="1:23" x14ac:dyDescent="0.25">
      <c r="D22" s="10"/>
    </row>
    <row r="23" spans="1:23" x14ac:dyDescent="0.25">
      <c r="D23" s="10"/>
      <c r="F23" s="9"/>
    </row>
    <row r="24" spans="1:23" x14ac:dyDescent="0.25">
      <c r="D24" s="10"/>
    </row>
  </sheetData>
  <sortState xmlns:xlrd2="http://schemas.microsoft.com/office/spreadsheetml/2017/richdata2" ref="A2:X21">
    <sortCondition descending="1" ref="E2:E21"/>
  </sortState>
  <pageMargins left="0.75" right="0.75" top="1" bottom="1" header="0.5" footer="0.5"/>
  <pageSetup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31</v>
      </c>
      <c r="B1" s="7" t="s">
        <v>32</v>
      </c>
      <c r="C1" s="7" t="s">
        <v>33</v>
      </c>
    </row>
    <row r="2" spans="1:3" ht="30" x14ac:dyDescent="0.25">
      <c r="A2" t="s">
        <v>34</v>
      </c>
      <c r="B2">
        <v>3</v>
      </c>
      <c r="C2" s="8" t="s">
        <v>35</v>
      </c>
    </row>
    <row r="3" spans="1:3" x14ac:dyDescent="0.25">
      <c r="A3" t="s">
        <v>36</v>
      </c>
      <c r="B3">
        <v>315</v>
      </c>
      <c r="C3" s="8" t="s">
        <v>37</v>
      </c>
    </row>
    <row r="4" spans="1:3" x14ac:dyDescent="0.25">
      <c r="A4" t="s">
        <v>38</v>
      </c>
      <c r="B4">
        <v>63</v>
      </c>
      <c r="C4" s="8" t="s">
        <v>39</v>
      </c>
    </row>
    <row r="5" spans="1:3" x14ac:dyDescent="0.25">
      <c r="A5" t="s">
        <v>40</v>
      </c>
      <c r="B5" t="b">
        <v>1</v>
      </c>
      <c r="C5" s="8" t="s">
        <v>41</v>
      </c>
    </row>
    <row r="6" spans="1:3" x14ac:dyDescent="0.25">
      <c r="A6" t="s">
        <v>42</v>
      </c>
      <c r="B6">
        <v>3</v>
      </c>
      <c r="C6" s="8" t="s">
        <v>43</v>
      </c>
    </row>
    <row r="7" spans="1:3" ht="30" x14ac:dyDescent="0.25">
      <c r="A7" t="s">
        <v>44</v>
      </c>
      <c r="B7" t="s">
        <v>45</v>
      </c>
      <c r="C7" s="8" t="s">
        <v>46</v>
      </c>
    </row>
    <row r="8" spans="1:3" ht="30" x14ac:dyDescent="0.25">
      <c r="A8" t="s">
        <v>47</v>
      </c>
      <c r="B8">
        <v>5</v>
      </c>
      <c r="C8" s="8" t="s">
        <v>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workbookViewId="0">
      <selection activeCell="F8" sqref="F8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49</v>
      </c>
      <c r="B1" s="7" t="s">
        <v>50</v>
      </c>
      <c r="C1" s="7" t="s">
        <v>51</v>
      </c>
      <c r="D1" s="7" t="s">
        <v>52</v>
      </c>
      <c r="E1" s="7" t="s">
        <v>53</v>
      </c>
      <c r="F1" s="7" t="s">
        <v>33</v>
      </c>
    </row>
    <row r="2" spans="1:6" x14ac:dyDescent="0.25">
      <c r="A2" t="s">
        <v>0</v>
      </c>
      <c r="B2" t="s">
        <v>54</v>
      </c>
      <c r="C2" t="s">
        <v>55</v>
      </c>
      <c r="D2" t="s">
        <v>56</v>
      </c>
      <c r="F2" s="8" t="s">
        <v>57</v>
      </c>
    </row>
    <row r="3" spans="1:6" x14ac:dyDescent="0.25">
      <c r="A3" t="s">
        <v>1</v>
      </c>
      <c r="B3" t="s">
        <v>54</v>
      </c>
      <c r="C3" t="s">
        <v>58</v>
      </c>
      <c r="D3" t="s">
        <v>23</v>
      </c>
      <c r="E3" t="s">
        <v>59</v>
      </c>
      <c r="F3" s="8" t="s">
        <v>60</v>
      </c>
    </row>
    <row r="4" spans="1:6" x14ac:dyDescent="0.25">
      <c r="A4" t="s">
        <v>2</v>
      </c>
      <c r="B4" t="s">
        <v>54</v>
      </c>
      <c r="C4" t="s">
        <v>61</v>
      </c>
      <c r="F4" s="8" t="s">
        <v>62</v>
      </c>
    </row>
    <row r="5" spans="1:6" x14ac:dyDescent="0.25">
      <c r="A5" t="s">
        <v>3</v>
      </c>
      <c r="B5" t="s">
        <v>54</v>
      </c>
      <c r="C5" t="s">
        <v>61</v>
      </c>
      <c r="F5" s="8" t="s">
        <v>63</v>
      </c>
    </row>
    <row r="6" spans="1:6" ht="30" x14ac:dyDescent="0.25">
      <c r="A6" t="s">
        <v>4</v>
      </c>
      <c r="B6">
        <v>0</v>
      </c>
      <c r="C6" t="s">
        <v>64</v>
      </c>
      <c r="F6" s="8" t="s">
        <v>65</v>
      </c>
    </row>
    <row r="7" spans="1:6" x14ac:dyDescent="0.25">
      <c r="A7" t="s">
        <v>5</v>
      </c>
      <c r="B7">
        <v>1</v>
      </c>
      <c r="C7" t="s">
        <v>58</v>
      </c>
      <c r="D7" t="s">
        <v>25</v>
      </c>
      <c r="E7" t="s">
        <v>66</v>
      </c>
      <c r="F7" s="8" t="s">
        <v>67</v>
      </c>
    </row>
    <row r="8" spans="1:6" x14ac:dyDescent="0.25">
      <c r="A8" t="s">
        <v>6</v>
      </c>
      <c r="B8">
        <v>1</v>
      </c>
      <c r="C8" t="s">
        <v>68</v>
      </c>
      <c r="F8" s="8" t="s">
        <v>69</v>
      </c>
    </row>
    <row r="9" spans="1:6" x14ac:dyDescent="0.25">
      <c r="A9" t="s">
        <v>7</v>
      </c>
      <c r="B9">
        <v>1</v>
      </c>
      <c r="C9" t="s">
        <v>70</v>
      </c>
      <c r="D9" t="s">
        <v>71</v>
      </c>
      <c r="F9" s="8" t="s">
        <v>72</v>
      </c>
    </row>
    <row r="10" spans="1:6" x14ac:dyDescent="0.25">
      <c r="A10" t="s">
        <v>8</v>
      </c>
      <c r="B10">
        <v>1</v>
      </c>
      <c r="C10" t="s">
        <v>61</v>
      </c>
      <c r="D10" t="s">
        <v>28</v>
      </c>
      <c r="F10" s="8" t="s">
        <v>73</v>
      </c>
    </row>
    <row r="11" spans="1:6" x14ac:dyDescent="0.25">
      <c r="A11" t="s">
        <v>9</v>
      </c>
      <c r="B11">
        <v>1</v>
      </c>
      <c r="C11" t="s">
        <v>74</v>
      </c>
      <c r="D11" t="s">
        <v>75</v>
      </c>
      <c r="F11" s="8" t="s">
        <v>76</v>
      </c>
    </row>
    <row r="12" spans="1:6" ht="30" x14ac:dyDescent="0.25">
      <c r="A12" t="s">
        <v>10</v>
      </c>
      <c r="B12">
        <v>1</v>
      </c>
      <c r="C12" t="s">
        <v>70</v>
      </c>
      <c r="D12" t="s">
        <v>77</v>
      </c>
      <c r="F12" s="8" t="s">
        <v>78</v>
      </c>
    </row>
    <row r="13" spans="1:6" x14ac:dyDescent="0.25">
      <c r="A13" t="s">
        <v>11</v>
      </c>
      <c r="B13">
        <v>1</v>
      </c>
      <c r="C13" t="s">
        <v>68</v>
      </c>
      <c r="D13" t="s">
        <v>79</v>
      </c>
      <c r="F13" s="8" t="s">
        <v>80</v>
      </c>
    </row>
    <row r="14" spans="1:6" ht="30" x14ac:dyDescent="0.25">
      <c r="A14" t="s">
        <v>12</v>
      </c>
      <c r="B14">
        <v>1</v>
      </c>
      <c r="C14" t="s">
        <v>68</v>
      </c>
      <c r="D14" t="s">
        <v>79</v>
      </c>
      <c r="F14" s="8" t="s">
        <v>81</v>
      </c>
    </row>
    <row r="15" spans="1:6" x14ac:dyDescent="0.25">
      <c r="A15" t="s">
        <v>13</v>
      </c>
      <c r="B15">
        <v>2</v>
      </c>
      <c r="C15" t="s">
        <v>64</v>
      </c>
      <c r="F15" s="8" t="s">
        <v>82</v>
      </c>
    </row>
    <row r="16" spans="1:6" x14ac:dyDescent="0.25">
      <c r="A16" t="s">
        <v>14</v>
      </c>
      <c r="B16">
        <v>2</v>
      </c>
      <c r="C16" t="s">
        <v>61</v>
      </c>
      <c r="D16" t="s">
        <v>28</v>
      </c>
      <c r="F16" s="8" t="s">
        <v>83</v>
      </c>
    </row>
    <row r="17" spans="1:6" x14ac:dyDescent="0.25">
      <c r="A17" t="s">
        <v>15</v>
      </c>
      <c r="B17">
        <v>2</v>
      </c>
      <c r="C17" t="s">
        <v>74</v>
      </c>
      <c r="D17" t="s">
        <v>75</v>
      </c>
      <c r="F17" s="8" t="s">
        <v>84</v>
      </c>
    </row>
    <row r="18" spans="1:6" ht="30" x14ac:dyDescent="0.25">
      <c r="A18" t="s">
        <v>16</v>
      </c>
      <c r="B18">
        <v>2</v>
      </c>
      <c r="C18" t="s">
        <v>16</v>
      </c>
      <c r="D18" t="s">
        <v>85</v>
      </c>
      <c r="F18" s="8" t="s">
        <v>86</v>
      </c>
    </row>
    <row r="19" spans="1:6" x14ac:dyDescent="0.25">
      <c r="A19" t="s">
        <v>17</v>
      </c>
      <c r="B19">
        <v>2</v>
      </c>
      <c r="C19" t="s">
        <v>68</v>
      </c>
      <c r="D19" t="s">
        <v>87</v>
      </c>
      <c r="F19" s="8" t="s">
        <v>88</v>
      </c>
    </row>
    <row r="20" spans="1:6" x14ac:dyDescent="0.25">
      <c r="A20" t="s">
        <v>18</v>
      </c>
      <c r="B20">
        <v>3</v>
      </c>
      <c r="C20" t="s">
        <v>68</v>
      </c>
      <c r="D20" t="s">
        <v>89</v>
      </c>
      <c r="E20" t="s">
        <v>90</v>
      </c>
      <c r="F20" s="8" t="s">
        <v>91</v>
      </c>
    </row>
    <row r="21" spans="1:6" x14ac:dyDescent="0.25">
      <c r="A21" t="s">
        <v>19</v>
      </c>
      <c r="B21">
        <v>3</v>
      </c>
      <c r="C21" t="s">
        <v>68</v>
      </c>
      <c r="D21" t="s">
        <v>92</v>
      </c>
      <c r="F21" s="8" t="s">
        <v>93</v>
      </c>
    </row>
    <row r="22" spans="1:6" x14ac:dyDescent="0.25">
      <c r="A22" t="s">
        <v>20</v>
      </c>
      <c r="B22">
        <v>3</v>
      </c>
      <c r="C22" t="s">
        <v>94</v>
      </c>
      <c r="D22" t="s">
        <v>95</v>
      </c>
      <c r="F22" s="8" t="s">
        <v>96</v>
      </c>
    </row>
    <row r="23" spans="1:6" ht="45" x14ac:dyDescent="0.25">
      <c r="A23" t="s">
        <v>21</v>
      </c>
      <c r="B23">
        <v>3</v>
      </c>
      <c r="C23" t="s">
        <v>70</v>
      </c>
      <c r="D23" t="s">
        <v>97</v>
      </c>
      <c r="F23" s="8" t="s">
        <v>98</v>
      </c>
    </row>
    <row r="24" spans="1:6" ht="30" x14ac:dyDescent="0.25">
      <c r="A24" t="s">
        <v>22</v>
      </c>
      <c r="B24">
        <v>4</v>
      </c>
      <c r="C24" t="s">
        <v>61</v>
      </c>
      <c r="F24" s="8" t="s">
        <v>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7CCE-58C3-4DA0-87B0-D86B94DCE164}">
  <dimension ref="A1:AH22"/>
  <sheetViews>
    <sheetView workbookViewId="0">
      <selection activeCell="A3" sqref="A3"/>
    </sheetView>
  </sheetViews>
  <sheetFormatPr defaultRowHeight="15" x14ac:dyDescent="0.25"/>
  <sheetData>
    <row r="1" spans="1:34" x14ac:dyDescent="0.2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</row>
    <row r="2" spans="1:34" x14ac:dyDescent="0.25">
      <c r="A2" s="12" t="s">
        <v>111</v>
      </c>
      <c r="B2" s="12" t="s">
        <v>132</v>
      </c>
      <c r="C2" s="12" t="s">
        <v>4</v>
      </c>
      <c r="D2" s="12" t="s">
        <v>5</v>
      </c>
      <c r="E2" s="12" t="s">
        <v>18</v>
      </c>
      <c r="F2" s="12" t="s">
        <v>8</v>
      </c>
      <c r="G2" s="12" t="s">
        <v>9</v>
      </c>
      <c r="H2" s="12" t="s">
        <v>14</v>
      </c>
      <c r="I2" s="12" t="s">
        <v>15</v>
      </c>
      <c r="J2" s="12" t="s">
        <v>16</v>
      </c>
      <c r="K2" s="12" t="s">
        <v>17</v>
      </c>
      <c r="L2" s="12" t="s">
        <v>12</v>
      </c>
      <c r="M2" s="12" t="s">
        <v>13</v>
      </c>
      <c r="N2" s="12" t="s">
        <v>112</v>
      </c>
      <c r="O2" s="12" t="s">
        <v>113</v>
      </c>
      <c r="P2" s="12" t="s">
        <v>114</v>
      </c>
      <c r="Q2" s="12" t="s">
        <v>115</v>
      </c>
      <c r="R2" s="12" t="s">
        <v>116</v>
      </c>
      <c r="S2" s="12" t="s">
        <v>117</v>
      </c>
      <c r="T2" s="12" t="s">
        <v>118</v>
      </c>
      <c r="U2" s="12" t="s">
        <v>119</v>
      </c>
      <c r="V2" s="12" t="s">
        <v>120</v>
      </c>
      <c r="W2" s="12" t="s">
        <v>121</v>
      </c>
      <c r="X2" s="12" t="s">
        <v>122</v>
      </c>
      <c r="Y2" s="12" t="s">
        <v>123</v>
      </c>
      <c r="Z2" s="12" t="s">
        <v>124</v>
      </c>
      <c r="AA2" s="12" t="s">
        <v>125</v>
      </c>
      <c r="AB2" s="12" t="s">
        <v>126</v>
      </c>
      <c r="AC2" s="12" t="s">
        <v>127</v>
      </c>
      <c r="AD2" s="12" t="s">
        <v>128</v>
      </c>
      <c r="AE2" s="12" t="s">
        <v>129</v>
      </c>
      <c r="AF2" s="12" t="s">
        <v>21</v>
      </c>
      <c r="AG2" s="12" t="s">
        <v>130</v>
      </c>
      <c r="AH2" s="12" t="s">
        <v>131</v>
      </c>
    </row>
    <row r="3" spans="1:34" x14ac:dyDescent="0.25">
      <c r="A3" s="13" t="s">
        <v>133</v>
      </c>
      <c r="B3" s="14" t="s">
        <v>134</v>
      </c>
      <c r="C3" t="s">
        <v>109</v>
      </c>
      <c r="D3" t="s">
        <v>25</v>
      </c>
      <c r="E3" s="15">
        <v>20</v>
      </c>
      <c r="F3" t="s">
        <v>106</v>
      </c>
      <c r="G3" t="s">
        <v>29</v>
      </c>
      <c r="H3" t="s">
        <v>100</v>
      </c>
      <c r="I3" t="s">
        <v>27</v>
      </c>
      <c r="J3" t="s">
        <v>85</v>
      </c>
      <c r="K3" s="15">
        <v>5</v>
      </c>
      <c r="L3" s="15">
        <v>3</v>
      </c>
      <c r="N3" s="15">
        <v>1610</v>
      </c>
      <c r="O3" s="15">
        <v>2188</v>
      </c>
      <c r="P3" s="15">
        <v>667</v>
      </c>
      <c r="Q3" s="15">
        <v>579</v>
      </c>
      <c r="R3" s="16">
        <v>6.7065999999999999</v>
      </c>
      <c r="S3" s="16">
        <v>2.71</v>
      </c>
      <c r="T3" s="16">
        <v>54.542299999999997</v>
      </c>
      <c r="U3" s="16">
        <v>5.0297000000000001</v>
      </c>
      <c r="V3" s="16">
        <v>3.9211999999999998</v>
      </c>
      <c r="W3" s="16">
        <v>194.15559999999999</v>
      </c>
      <c r="X3" s="16">
        <v>84.51</v>
      </c>
      <c r="Y3" s="15">
        <v>29</v>
      </c>
      <c r="Z3" s="16">
        <v>57.975299999999997</v>
      </c>
      <c r="AA3" s="15">
        <v>15</v>
      </c>
      <c r="AB3" s="16">
        <v>-46.93</v>
      </c>
      <c r="AC3" s="16">
        <v>10.3477</v>
      </c>
      <c r="AD3" s="16">
        <v>7.5876999999999999</v>
      </c>
      <c r="AE3" s="15">
        <v>21</v>
      </c>
      <c r="AF3" s="15">
        <v>0</v>
      </c>
    </row>
    <row r="4" spans="1:34" x14ac:dyDescent="0.25">
      <c r="A4" s="13" t="s">
        <v>135</v>
      </c>
      <c r="B4" s="14" t="s">
        <v>136</v>
      </c>
      <c r="C4" t="s">
        <v>24</v>
      </c>
      <c r="D4" t="s">
        <v>25</v>
      </c>
      <c r="E4" s="15">
        <v>20</v>
      </c>
      <c r="F4" t="s">
        <v>105</v>
      </c>
      <c r="G4" t="s">
        <v>27</v>
      </c>
      <c r="H4" t="s">
        <v>100</v>
      </c>
      <c r="I4" t="s">
        <v>27</v>
      </c>
      <c r="J4" t="s">
        <v>85</v>
      </c>
      <c r="K4" s="15">
        <v>5</v>
      </c>
      <c r="L4" s="15">
        <v>3</v>
      </c>
      <c r="N4" s="15">
        <v>1610</v>
      </c>
      <c r="O4" s="15">
        <v>2188</v>
      </c>
      <c r="P4" s="15">
        <v>667</v>
      </c>
      <c r="Q4" s="15">
        <v>579</v>
      </c>
      <c r="R4" s="16">
        <v>6.6062000000000003</v>
      </c>
      <c r="S4" s="16">
        <v>2.86</v>
      </c>
      <c r="T4" s="16">
        <v>54.680500000000002</v>
      </c>
      <c r="U4" s="16">
        <v>4.9292999999999996</v>
      </c>
      <c r="V4" s="16">
        <v>3.7421000000000002</v>
      </c>
      <c r="W4" s="16">
        <v>191.25</v>
      </c>
      <c r="X4" s="16">
        <v>83.244799999999998</v>
      </c>
      <c r="Y4" s="15">
        <v>29</v>
      </c>
      <c r="Z4" s="16">
        <v>60.878399999999999</v>
      </c>
      <c r="AA4" s="15">
        <v>14</v>
      </c>
      <c r="AB4" s="16">
        <v>-37.518000000000001</v>
      </c>
      <c r="AC4" s="16">
        <v>7.9673999999999996</v>
      </c>
      <c r="AD4" s="16">
        <v>5.2073999999999998</v>
      </c>
      <c r="AE4" s="15">
        <v>21</v>
      </c>
      <c r="AF4" s="15">
        <v>0</v>
      </c>
    </row>
    <row r="5" spans="1:34" x14ac:dyDescent="0.25">
      <c r="A5" s="13" t="s">
        <v>137</v>
      </c>
      <c r="B5" s="14" t="s">
        <v>138</v>
      </c>
      <c r="C5" t="s">
        <v>24</v>
      </c>
      <c r="D5" t="s">
        <v>25</v>
      </c>
      <c r="E5" s="15">
        <v>20</v>
      </c>
      <c r="F5" t="s">
        <v>30</v>
      </c>
      <c r="G5" t="s">
        <v>29</v>
      </c>
      <c r="H5" t="s">
        <v>100</v>
      </c>
      <c r="I5" t="s">
        <v>27</v>
      </c>
      <c r="J5" t="s">
        <v>85</v>
      </c>
      <c r="K5" s="15">
        <v>5</v>
      </c>
      <c r="L5" s="15">
        <v>3</v>
      </c>
      <c r="N5" s="15">
        <v>1643</v>
      </c>
      <c r="O5" s="15">
        <v>2188</v>
      </c>
      <c r="P5" s="15">
        <v>667</v>
      </c>
      <c r="Q5" s="15">
        <v>408</v>
      </c>
      <c r="R5" s="16">
        <v>6.7283999999999997</v>
      </c>
      <c r="S5" s="16">
        <v>2.83</v>
      </c>
      <c r="T5" s="16">
        <v>54.803899999999999</v>
      </c>
      <c r="U5" s="16">
        <v>4.7187999999999999</v>
      </c>
      <c r="V5" s="16">
        <v>3.6322000000000001</v>
      </c>
      <c r="W5" s="16">
        <v>180.4025</v>
      </c>
      <c r="X5" s="16">
        <v>82.430099999999996</v>
      </c>
      <c r="Y5" s="15">
        <v>26</v>
      </c>
      <c r="Z5" s="16">
        <v>49.557899999999997</v>
      </c>
      <c r="AA5" s="15">
        <v>12</v>
      </c>
      <c r="AB5" s="16">
        <v>-30.045999999999999</v>
      </c>
      <c r="AC5" s="16">
        <v>9.4117999999999995</v>
      </c>
      <c r="AD5" s="16">
        <v>6.5903</v>
      </c>
      <c r="AE5" s="15">
        <v>21</v>
      </c>
      <c r="AF5" s="15">
        <v>0</v>
      </c>
    </row>
    <row r="6" spans="1:34" x14ac:dyDescent="0.25">
      <c r="A6" s="13" t="s">
        <v>139</v>
      </c>
      <c r="B6" s="14" t="s">
        <v>140</v>
      </c>
      <c r="C6" t="s">
        <v>24</v>
      </c>
      <c r="D6" t="s">
        <v>25</v>
      </c>
      <c r="E6" s="15">
        <v>20</v>
      </c>
      <c r="F6" t="s">
        <v>28</v>
      </c>
      <c r="G6" t="s">
        <v>29</v>
      </c>
      <c r="H6" t="s">
        <v>100</v>
      </c>
      <c r="I6" t="s">
        <v>27</v>
      </c>
      <c r="J6" t="s">
        <v>85</v>
      </c>
      <c r="K6" s="15">
        <v>5</v>
      </c>
      <c r="L6" s="15">
        <v>3</v>
      </c>
      <c r="N6" s="15">
        <v>1610</v>
      </c>
      <c r="O6" s="15">
        <v>2188</v>
      </c>
      <c r="P6" s="15">
        <v>667</v>
      </c>
      <c r="Q6" s="15">
        <v>579</v>
      </c>
      <c r="R6" s="16">
        <v>6.4134000000000002</v>
      </c>
      <c r="S6" s="16">
        <v>3.49</v>
      </c>
      <c r="T6" s="16">
        <v>55.475000000000001</v>
      </c>
      <c r="U6" s="16">
        <v>4.7365000000000004</v>
      </c>
      <c r="V6" s="16">
        <v>3.7888000000000002</v>
      </c>
      <c r="W6" s="16">
        <v>185.66810000000001</v>
      </c>
      <c r="X6" s="16">
        <v>80.825199999999995</v>
      </c>
      <c r="Y6" s="15">
        <v>29</v>
      </c>
      <c r="Z6" s="16">
        <v>71.201800000000006</v>
      </c>
      <c r="AA6" s="15">
        <v>13</v>
      </c>
      <c r="AB6" s="16">
        <v>-37.518000000000001</v>
      </c>
      <c r="AC6" s="16">
        <v>12.6747</v>
      </c>
      <c r="AD6" s="16">
        <v>9.9146000000000001</v>
      </c>
      <c r="AE6" s="15">
        <v>21</v>
      </c>
      <c r="AF6" s="15">
        <v>0</v>
      </c>
    </row>
    <row r="7" spans="1:34" x14ac:dyDescent="0.25">
      <c r="A7" s="13" t="s">
        <v>141</v>
      </c>
      <c r="B7" s="14" t="s">
        <v>142</v>
      </c>
      <c r="C7" t="s">
        <v>109</v>
      </c>
      <c r="D7" t="s">
        <v>25</v>
      </c>
      <c r="E7" s="15">
        <v>20</v>
      </c>
      <c r="F7" t="s">
        <v>100</v>
      </c>
      <c r="G7" t="s">
        <v>27</v>
      </c>
      <c r="H7" t="s">
        <v>100</v>
      </c>
      <c r="I7" t="s">
        <v>27</v>
      </c>
      <c r="J7" t="s">
        <v>85</v>
      </c>
      <c r="K7" s="15">
        <v>5</v>
      </c>
      <c r="L7" s="15">
        <v>3</v>
      </c>
      <c r="N7" s="15">
        <v>1610</v>
      </c>
      <c r="O7" s="15">
        <v>2188</v>
      </c>
      <c r="P7" s="15">
        <v>667</v>
      </c>
      <c r="Q7" s="15">
        <v>579</v>
      </c>
      <c r="R7" s="16">
        <v>6.3688000000000002</v>
      </c>
      <c r="S7" s="16">
        <v>2.65</v>
      </c>
      <c r="T7" s="16">
        <v>54.196899999999999</v>
      </c>
      <c r="U7" s="16">
        <v>4.6920000000000002</v>
      </c>
      <c r="V7" s="16">
        <v>3.9605000000000001</v>
      </c>
      <c r="W7" s="16">
        <v>184.37819999999999</v>
      </c>
      <c r="X7" s="16">
        <v>80.255600000000001</v>
      </c>
      <c r="Y7" s="15">
        <v>29</v>
      </c>
      <c r="Z7" s="16">
        <v>64.751499999999993</v>
      </c>
      <c r="AA7" s="15">
        <v>16</v>
      </c>
      <c r="AB7" s="16">
        <v>-46.93</v>
      </c>
      <c r="AC7" s="16">
        <v>10.0265</v>
      </c>
      <c r="AD7" s="16">
        <v>7.2664999999999997</v>
      </c>
      <c r="AE7" s="15">
        <v>21</v>
      </c>
      <c r="AF7" s="15">
        <v>0</v>
      </c>
    </row>
    <row r="8" spans="1:34" x14ac:dyDescent="0.25">
      <c r="A8" s="13" t="s">
        <v>143</v>
      </c>
      <c r="B8" s="14" t="s">
        <v>144</v>
      </c>
      <c r="C8" t="s">
        <v>109</v>
      </c>
      <c r="D8" t="s">
        <v>25</v>
      </c>
      <c r="E8" s="15">
        <v>20</v>
      </c>
      <c r="F8" t="s">
        <v>105</v>
      </c>
      <c r="G8" t="s">
        <v>27</v>
      </c>
      <c r="H8" t="s">
        <v>100</v>
      </c>
      <c r="I8" t="s">
        <v>27</v>
      </c>
      <c r="J8" t="s">
        <v>85</v>
      </c>
      <c r="K8" s="15">
        <v>5</v>
      </c>
      <c r="L8" s="15">
        <v>3</v>
      </c>
      <c r="N8" s="15">
        <v>1610</v>
      </c>
      <c r="O8" s="15">
        <v>2188</v>
      </c>
      <c r="P8" s="15">
        <v>667</v>
      </c>
      <c r="Q8" s="15">
        <v>579</v>
      </c>
      <c r="R8" s="16">
        <v>6.3689999999999998</v>
      </c>
      <c r="S8" s="16">
        <v>3.07</v>
      </c>
      <c r="T8" s="16">
        <v>55.371299999999998</v>
      </c>
      <c r="U8" s="16">
        <v>4.6920999999999999</v>
      </c>
      <c r="V8" s="16">
        <v>3.9119000000000002</v>
      </c>
      <c r="W8" s="16">
        <v>184.3826</v>
      </c>
      <c r="X8" s="16">
        <v>80.250399999999999</v>
      </c>
      <c r="Y8" s="15">
        <v>29</v>
      </c>
      <c r="Z8" s="16">
        <v>68.928899999999999</v>
      </c>
      <c r="AA8" s="15">
        <v>14</v>
      </c>
      <c r="AB8" s="16">
        <v>-46.93</v>
      </c>
      <c r="AC8" s="16">
        <v>10.656000000000001</v>
      </c>
      <c r="AD8" s="16">
        <v>7.8959999999999999</v>
      </c>
      <c r="AE8" s="15">
        <v>21</v>
      </c>
      <c r="AF8" s="15">
        <v>0</v>
      </c>
    </row>
    <row r="9" spans="1:34" x14ac:dyDescent="0.25">
      <c r="A9" s="13" t="s">
        <v>145</v>
      </c>
      <c r="B9" s="14" t="s">
        <v>146</v>
      </c>
      <c r="C9" t="s">
        <v>24</v>
      </c>
      <c r="D9" t="s">
        <v>25</v>
      </c>
      <c r="E9" s="15">
        <v>20</v>
      </c>
      <c r="F9" t="s">
        <v>101</v>
      </c>
      <c r="G9" t="s">
        <v>27</v>
      </c>
      <c r="H9" t="s">
        <v>100</v>
      </c>
      <c r="I9" t="s">
        <v>27</v>
      </c>
      <c r="J9" t="s">
        <v>85</v>
      </c>
      <c r="K9" s="15">
        <v>5</v>
      </c>
      <c r="L9" s="15">
        <v>3</v>
      </c>
      <c r="N9" s="15">
        <v>1610</v>
      </c>
      <c r="O9" s="15">
        <v>2188</v>
      </c>
      <c r="P9" s="15">
        <v>667</v>
      </c>
      <c r="Q9" s="15">
        <v>579</v>
      </c>
      <c r="R9" s="16">
        <v>6.3537999999999997</v>
      </c>
      <c r="S9" s="16">
        <v>3.13</v>
      </c>
      <c r="T9" s="16">
        <v>54.991399999999999</v>
      </c>
      <c r="U9" s="16">
        <v>4.6768999999999998</v>
      </c>
      <c r="V9" s="16">
        <v>3.7995999999999999</v>
      </c>
      <c r="W9" s="16">
        <v>183.9427</v>
      </c>
      <c r="X9" s="16">
        <v>80.100499999999997</v>
      </c>
      <c r="Y9" s="15">
        <v>29</v>
      </c>
      <c r="Z9" s="16">
        <v>86.188699999999997</v>
      </c>
      <c r="AA9" s="15">
        <v>14</v>
      </c>
      <c r="AB9" s="16">
        <v>-40.036000000000001</v>
      </c>
      <c r="AC9" s="16">
        <v>12.5786</v>
      </c>
      <c r="AD9" s="16">
        <v>9.8185000000000002</v>
      </c>
      <c r="AE9" s="15">
        <v>21</v>
      </c>
      <c r="AF9" s="15">
        <v>0</v>
      </c>
    </row>
    <row r="10" spans="1:34" x14ac:dyDescent="0.25">
      <c r="A10" s="13" t="s">
        <v>147</v>
      </c>
      <c r="B10" s="14" t="s">
        <v>148</v>
      </c>
      <c r="C10" t="s">
        <v>109</v>
      </c>
      <c r="D10" t="s">
        <v>25</v>
      </c>
      <c r="E10" s="15">
        <v>20</v>
      </c>
      <c r="F10" t="s">
        <v>28</v>
      </c>
      <c r="G10" t="s">
        <v>29</v>
      </c>
      <c r="H10" t="s">
        <v>100</v>
      </c>
      <c r="I10" t="s">
        <v>27</v>
      </c>
      <c r="J10" t="s">
        <v>85</v>
      </c>
      <c r="K10" s="15">
        <v>5</v>
      </c>
      <c r="L10" s="15">
        <v>3</v>
      </c>
      <c r="N10" s="15">
        <v>1610</v>
      </c>
      <c r="O10" s="15">
        <v>2188</v>
      </c>
      <c r="P10" s="15">
        <v>667</v>
      </c>
      <c r="Q10" s="15">
        <v>579</v>
      </c>
      <c r="R10" s="16">
        <v>6.2732000000000001</v>
      </c>
      <c r="S10" s="16">
        <v>2.61</v>
      </c>
      <c r="T10" s="16">
        <v>54.369599999999998</v>
      </c>
      <c r="U10" s="16">
        <v>4.5963000000000003</v>
      </c>
      <c r="V10" s="16">
        <v>3.9409999999999998</v>
      </c>
      <c r="W10" s="16">
        <v>181.60990000000001</v>
      </c>
      <c r="X10" s="16">
        <v>79.058899999999994</v>
      </c>
      <c r="Y10" s="15">
        <v>29</v>
      </c>
      <c r="Z10" s="16">
        <v>66.852800000000002</v>
      </c>
      <c r="AA10" s="15">
        <v>15</v>
      </c>
      <c r="AB10" s="16">
        <v>-46.93</v>
      </c>
      <c r="AC10" s="16">
        <v>10.9367</v>
      </c>
      <c r="AD10" s="16">
        <v>8.1766000000000005</v>
      </c>
      <c r="AE10" s="15">
        <v>21</v>
      </c>
      <c r="AF10" s="15">
        <v>0</v>
      </c>
    </row>
    <row r="11" spans="1:34" x14ac:dyDescent="0.25">
      <c r="A11" s="13" t="s">
        <v>149</v>
      </c>
      <c r="B11" s="14" t="s">
        <v>150</v>
      </c>
      <c r="C11" t="s">
        <v>109</v>
      </c>
      <c r="D11" t="s">
        <v>25</v>
      </c>
      <c r="E11" s="15">
        <v>20</v>
      </c>
      <c r="F11" t="s">
        <v>110</v>
      </c>
      <c r="G11" t="s">
        <v>27</v>
      </c>
      <c r="H11" t="s">
        <v>100</v>
      </c>
      <c r="I11" t="s">
        <v>27</v>
      </c>
      <c r="J11" t="s">
        <v>85</v>
      </c>
      <c r="K11" s="15">
        <v>5</v>
      </c>
      <c r="L11" s="15">
        <v>3</v>
      </c>
      <c r="N11" s="15">
        <v>1610</v>
      </c>
      <c r="O11" s="15">
        <v>2188</v>
      </c>
      <c r="P11" s="15">
        <v>667</v>
      </c>
      <c r="Q11" s="15">
        <v>579</v>
      </c>
      <c r="R11" s="16">
        <v>6.2514000000000003</v>
      </c>
      <c r="S11" s="16">
        <v>2.73</v>
      </c>
      <c r="T11" s="16">
        <v>54.335099999999997</v>
      </c>
      <c r="U11" s="16">
        <v>4.5744999999999996</v>
      </c>
      <c r="V11" s="16">
        <v>3.9565999999999999</v>
      </c>
      <c r="W11" s="16">
        <v>180.97720000000001</v>
      </c>
      <c r="X11" s="16">
        <v>78.773899999999998</v>
      </c>
      <c r="Y11" s="15">
        <v>29</v>
      </c>
      <c r="Z11" s="16">
        <v>70.915899999999993</v>
      </c>
      <c r="AA11" s="15">
        <v>16</v>
      </c>
      <c r="AB11" s="16">
        <v>-46.93</v>
      </c>
      <c r="AC11" s="16">
        <v>10.0265</v>
      </c>
      <c r="AD11" s="16">
        <v>7.2664999999999997</v>
      </c>
      <c r="AE11" s="15">
        <v>21</v>
      </c>
      <c r="AF11" s="15">
        <v>0</v>
      </c>
    </row>
    <row r="12" spans="1:34" x14ac:dyDescent="0.25">
      <c r="A12" s="13" t="s">
        <v>151</v>
      </c>
      <c r="B12" s="14" t="s">
        <v>152</v>
      </c>
      <c r="C12" t="s">
        <v>109</v>
      </c>
      <c r="D12" t="s">
        <v>25</v>
      </c>
      <c r="E12" s="15">
        <v>20</v>
      </c>
      <c r="F12" t="s">
        <v>104</v>
      </c>
      <c r="G12" t="s">
        <v>27</v>
      </c>
      <c r="H12" t="s">
        <v>100</v>
      </c>
      <c r="I12" t="s">
        <v>27</v>
      </c>
      <c r="J12" t="s">
        <v>85</v>
      </c>
      <c r="K12" s="15">
        <v>5</v>
      </c>
      <c r="L12" s="15">
        <v>3</v>
      </c>
      <c r="N12" s="15">
        <v>1610</v>
      </c>
      <c r="O12" s="15">
        <v>2188</v>
      </c>
      <c r="P12" s="15">
        <v>667</v>
      </c>
      <c r="Q12" s="15">
        <v>579</v>
      </c>
      <c r="R12" s="16">
        <v>6.2206000000000001</v>
      </c>
      <c r="S12" s="16">
        <v>2.66</v>
      </c>
      <c r="T12" s="16">
        <v>54.4041</v>
      </c>
      <c r="U12" s="16">
        <v>4.5437000000000003</v>
      </c>
      <c r="V12" s="16">
        <v>3.9573999999999998</v>
      </c>
      <c r="W12" s="16">
        <v>180.0856</v>
      </c>
      <c r="X12" s="16">
        <v>78.390299999999996</v>
      </c>
      <c r="Y12" s="15">
        <v>29</v>
      </c>
      <c r="Z12" s="16">
        <v>66.824399999999997</v>
      </c>
      <c r="AA12" s="15">
        <v>15</v>
      </c>
      <c r="AB12" s="16">
        <v>-46.93</v>
      </c>
      <c r="AC12" s="16">
        <v>10.2502</v>
      </c>
      <c r="AD12" s="16">
        <v>7.4901999999999997</v>
      </c>
      <c r="AE12" s="15">
        <v>21</v>
      </c>
      <c r="AF12" s="15">
        <v>0</v>
      </c>
    </row>
    <row r="13" spans="1:34" x14ac:dyDescent="0.25">
      <c r="A13" s="13" t="s">
        <v>153</v>
      </c>
      <c r="B13" s="14" t="s">
        <v>154</v>
      </c>
      <c r="C13" t="s">
        <v>109</v>
      </c>
      <c r="D13" t="s">
        <v>25</v>
      </c>
      <c r="E13" s="15">
        <v>20</v>
      </c>
      <c r="F13" t="s">
        <v>101</v>
      </c>
      <c r="G13" t="s">
        <v>27</v>
      </c>
      <c r="H13" t="s">
        <v>100</v>
      </c>
      <c r="I13" t="s">
        <v>27</v>
      </c>
      <c r="J13" t="s">
        <v>85</v>
      </c>
      <c r="K13" s="15">
        <v>5</v>
      </c>
      <c r="L13" s="15">
        <v>3</v>
      </c>
      <c r="N13" s="15">
        <v>1610</v>
      </c>
      <c r="O13" s="15">
        <v>2188</v>
      </c>
      <c r="P13" s="15">
        <v>667</v>
      </c>
      <c r="Q13" s="15">
        <v>579</v>
      </c>
      <c r="R13" s="16">
        <v>6.0716000000000001</v>
      </c>
      <c r="S13" s="16">
        <v>2.4900000000000002</v>
      </c>
      <c r="T13" s="16">
        <v>54.196899999999999</v>
      </c>
      <c r="U13" s="16">
        <v>4.3947000000000003</v>
      </c>
      <c r="V13" s="16">
        <v>3.9472</v>
      </c>
      <c r="W13" s="16">
        <v>175.77209999999999</v>
      </c>
      <c r="X13" s="16">
        <v>76.500600000000006</v>
      </c>
      <c r="Y13" s="15">
        <v>29</v>
      </c>
      <c r="Z13" s="16">
        <v>61.908499999999997</v>
      </c>
      <c r="AA13" s="15">
        <v>16</v>
      </c>
      <c r="AB13" s="16">
        <v>-46.93</v>
      </c>
      <c r="AC13" s="16">
        <v>11.471399999999999</v>
      </c>
      <c r="AD13" s="16">
        <v>8.7113999999999994</v>
      </c>
      <c r="AE13" s="15">
        <v>21</v>
      </c>
      <c r="AF13" s="15">
        <v>0</v>
      </c>
    </row>
    <row r="14" spans="1:34" x14ac:dyDescent="0.25">
      <c r="A14" s="13" t="s">
        <v>155</v>
      </c>
      <c r="B14" s="14" t="s">
        <v>156</v>
      </c>
      <c r="C14" t="s">
        <v>109</v>
      </c>
      <c r="D14" t="s">
        <v>25</v>
      </c>
      <c r="E14" s="15">
        <v>20</v>
      </c>
      <c r="F14" t="s">
        <v>103</v>
      </c>
      <c r="G14" t="s">
        <v>27</v>
      </c>
      <c r="H14" t="s">
        <v>100</v>
      </c>
      <c r="I14" t="s">
        <v>27</v>
      </c>
      <c r="J14" t="s">
        <v>85</v>
      </c>
      <c r="K14" s="15">
        <v>5</v>
      </c>
      <c r="L14" s="15">
        <v>3</v>
      </c>
      <c r="N14" s="15">
        <v>1610</v>
      </c>
      <c r="O14" s="15">
        <v>2188</v>
      </c>
      <c r="P14" s="15">
        <v>667</v>
      </c>
      <c r="Q14" s="15">
        <v>579</v>
      </c>
      <c r="R14" s="16">
        <v>6.0533000000000001</v>
      </c>
      <c r="S14" s="16">
        <v>2.42</v>
      </c>
      <c r="T14" s="16">
        <v>53.955100000000002</v>
      </c>
      <c r="U14" s="16">
        <v>4.3764000000000003</v>
      </c>
      <c r="V14" s="16">
        <v>3.9487999999999999</v>
      </c>
      <c r="W14" s="16">
        <v>175.24189999999999</v>
      </c>
      <c r="X14" s="16">
        <v>76.274500000000003</v>
      </c>
      <c r="Y14" s="15">
        <v>29</v>
      </c>
      <c r="Z14" s="16">
        <v>82.095100000000002</v>
      </c>
      <c r="AA14" s="15">
        <v>16</v>
      </c>
      <c r="AB14" s="16">
        <v>-46.93</v>
      </c>
      <c r="AC14" s="16">
        <v>11.7781</v>
      </c>
      <c r="AD14" s="16">
        <v>9.0180000000000007</v>
      </c>
      <c r="AE14" s="15">
        <v>21</v>
      </c>
      <c r="AF14" s="15">
        <v>0</v>
      </c>
    </row>
    <row r="15" spans="1:34" x14ac:dyDescent="0.25">
      <c r="A15" s="13" t="s">
        <v>157</v>
      </c>
      <c r="B15" s="14" t="s">
        <v>158</v>
      </c>
      <c r="C15" t="s">
        <v>24</v>
      </c>
      <c r="D15" t="s">
        <v>25</v>
      </c>
      <c r="E15" s="15">
        <v>20</v>
      </c>
      <c r="F15" t="s">
        <v>100</v>
      </c>
      <c r="G15" t="s">
        <v>27</v>
      </c>
      <c r="H15" t="s">
        <v>100</v>
      </c>
      <c r="I15" t="s">
        <v>27</v>
      </c>
      <c r="J15" t="s">
        <v>85</v>
      </c>
      <c r="K15" s="15">
        <v>5</v>
      </c>
      <c r="L15" s="15">
        <v>3</v>
      </c>
      <c r="N15" s="15">
        <v>1610</v>
      </c>
      <c r="O15" s="15">
        <v>2188</v>
      </c>
      <c r="P15" s="15">
        <v>667</v>
      </c>
      <c r="Q15" s="15">
        <v>579</v>
      </c>
      <c r="R15" s="16">
        <v>6.0366999999999997</v>
      </c>
      <c r="S15" s="16">
        <v>3.23</v>
      </c>
      <c r="T15" s="16">
        <v>55.267699999999998</v>
      </c>
      <c r="U15" s="16">
        <v>4.3597999999999999</v>
      </c>
      <c r="V15" s="16">
        <v>3.7957000000000001</v>
      </c>
      <c r="W15" s="16">
        <v>174.7621</v>
      </c>
      <c r="X15" s="16">
        <v>76.073700000000002</v>
      </c>
      <c r="Y15" s="15">
        <v>29</v>
      </c>
      <c r="Z15" s="16">
        <v>53.7254</v>
      </c>
      <c r="AA15" s="15">
        <v>14</v>
      </c>
      <c r="AB15" s="16">
        <v>-37.518000000000001</v>
      </c>
      <c r="AC15" s="16">
        <v>14.970800000000001</v>
      </c>
      <c r="AD15" s="16">
        <v>12.210699999999999</v>
      </c>
      <c r="AE15" s="15">
        <v>21</v>
      </c>
      <c r="AF15" s="15">
        <v>0</v>
      </c>
    </row>
    <row r="16" spans="1:34" x14ac:dyDescent="0.25">
      <c r="A16" s="13" t="s">
        <v>159</v>
      </c>
      <c r="B16" s="14" t="s">
        <v>160</v>
      </c>
      <c r="C16" t="s">
        <v>109</v>
      </c>
      <c r="D16" t="s">
        <v>25</v>
      </c>
      <c r="E16" s="15">
        <v>20</v>
      </c>
      <c r="F16" t="s">
        <v>102</v>
      </c>
      <c r="G16" t="s">
        <v>27</v>
      </c>
      <c r="H16" t="s">
        <v>100</v>
      </c>
      <c r="I16" t="s">
        <v>27</v>
      </c>
      <c r="J16" t="s">
        <v>85</v>
      </c>
      <c r="K16" s="15">
        <v>5</v>
      </c>
      <c r="L16" s="15">
        <v>3</v>
      </c>
      <c r="N16" s="15">
        <v>1610</v>
      </c>
      <c r="O16" s="15">
        <v>2188</v>
      </c>
      <c r="P16" s="15">
        <v>667</v>
      </c>
      <c r="Q16" s="15">
        <v>579</v>
      </c>
      <c r="R16" s="16">
        <v>6.0168999999999997</v>
      </c>
      <c r="S16" s="16">
        <v>2.57</v>
      </c>
      <c r="T16" s="16">
        <v>54.3005</v>
      </c>
      <c r="U16" s="16">
        <v>4.34</v>
      </c>
      <c r="V16" s="16">
        <v>3.9474999999999998</v>
      </c>
      <c r="W16" s="16">
        <v>174.18879999999999</v>
      </c>
      <c r="X16" s="16">
        <v>75.83</v>
      </c>
      <c r="Y16" s="15">
        <v>29</v>
      </c>
      <c r="Z16" s="16">
        <v>83.874700000000004</v>
      </c>
      <c r="AA16" s="15">
        <v>16</v>
      </c>
      <c r="AB16" s="16">
        <v>-46.93</v>
      </c>
      <c r="AC16" s="16">
        <v>11.7971</v>
      </c>
      <c r="AD16" s="16">
        <v>9.0371000000000006</v>
      </c>
      <c r="AE16" s="15">
        <v>21</v>
      </c>
      <c r="AF16" s="15">
        <v>0</v>
      </c>
    </row>
    <row r="17" spans="1:32" x14ac:dyDescent="0.25">
      <c r="A17" s="13" t="s">
        <v>161</v>
      </c>
      <c r="B17" s="14" t="s">
        <v>162</v>
      </c>
      <c r="C17" t="s">
        <v>24</v>
      </c>
      <c r="D17" t="s">
        <v>25</v>
      </c>
      <c r="E17" s="15">
        <v>20</v>
      </c>
      <c r="F17" t="s">
        <v>26</v>
      </c>
      <c r="G17" t="s">
        <v>27</v>
      </c>
      <c r="H17" t="s">
        <v>100</v>
      </c>
      <c r="I17" t="s">
        <v>27</v>
      </c>
      <c r="J17" t="s">
        <v>85</v>
      </c>
      <c r="K17" s="15">
        <v>5</v>
      </c>
      <c r="L17" s="15">
        <v>3</v>
      </c>
      <c r="N17" s="15">
        <v>1610</v>
      </c>
      <c r="O17" s="15">
        <v>2188</v>
      </c>
      <c r="P17" s="15">
        <v>667</v>
      </c>
      <c r="Q17" s="15">
        <v>579</v>
      </c>
      <c r="R17" s="16">
        <v>5.9362000000000004</v>
      </c>
      <c r="S17" s="16">
        <v>2.5499999999999998</v>
      </c>
      <c r="T17" s="16">
        <v>54.265999999999998</v>
      </c>
      <c r="U17" s="16">
        <v>4.2592999999999996</v>
      </c>
      <c r="V17" s="16">
        <v>3.7480000000000002</v>
      </c>
      <c r="W17" s="16">
        <v>171.85310000000001</v>
      </c>
      <c r="X17" s="16">
        <v>74.843299999999999</v>
      </c>
      <c r="Y17" s="15">
        <v>29</v>
      </c>
      <c r="Z17" s="16">
        <v>94.503399999999999</v>
      </c>
      <c r="AA17" s="15">
        <v>14</v>
      </c>
      <c r="AB17" s="16">
        <v>-38.954000000000001</v>
      </c>
      <c r="AC17" s="16">
        <v>12.6737</v>
      </c>
      <c r="AD17" s="16">
        <v>9.9136000000000006</v>
      </c>
      <c r="AE17" s="15">
        <v>21</v>
      </c>
      <c r="AF17" s="15">
        <v>0</v>
      </c>
    </row>
    <row r="18" spans="1:32" x14ac:dyDescent="0.25">
      <c r="A18" s="13" t="s">
        <v>163</v>
      </c>
      <c r="B18" s="14" t="s">
        <v>164</v>
      </c>
      <c r="C18" t="s">
        <v>108</v>
      </c>
      <c r="D18" t="s">
        <v>25</v>
      </c>
      <c r="E18" s="15">
        <v>20</v>
      </c>
      <c r="F18" t="s">
        <v>104</v>
      </c>
      <c r="G18" t="s">
        <v>27</v>
      </c>
      <c r="H18" t="s">
        <v>100</v>
      </c>
      <c r="I18" t="s">
        <v>27</v>
      </c>
      <c r="J18" t="s">
        <v>85</v>
      </c>
      <c r="K18" s="15">
        <v>5</v>
      </c>
      <c r="L18" s="15">
        <v>3</v>
      </c>
      <c r="N18" s="15">
        <v>1610</v>
      </c>
      <c r="O18" s="15">
        <v>2188</v>
      </c>
      <c r="P18" s="15">
        <v>667</v>
      </c>
      <c r="Q18" s="15">
        <v>555</v>
      </c>
      <c r="R18" s="16">
        <v>4.8780999999999999</v>
      </c>
      <c r="S18" s="16">
        <v>2.15</v>
      </c>
      <c r="T18" s="16">
        <v>55.0991</v>
      </c>
      <c r="U18" s="16">
        <v>3.0985999999999998</v>
      </c>
      <c r="V18" s="16">
        <v>3.5720999999999998</v>
      </c>
      <c r="W18" s="16">
        <v>153.8271</v>
      </c>
      <c r="X18" s="16">
        <v>67.982900000000001</v>
      </c>
      <c r="Y18" s="15">
        <v>28</v>
      </c>
      <c r="Z18" s="16">
        <v>39.160499999999999</v>
      </c>
      <c r="AA18" s="15">
        <v>13</v>
      </c>
      <c r="AB18" s="16">
        <v>-34.764000000000003</v>
      </c>
      <c r="AC18" s="16">
        <v>4.2666000000000004</v>
      </c>
      <c r="AD18" s="16">
        <v>1.5065</v>
      </c>
      <c r="AE18" s="15">
        <v>21</v>
      </c>
      <c r="AF18" s="15">
        <v>0</v>
      </c>
    </row>
    <row r="19" spans="1:32" x14ac:dyDescent="0.25">
      <c r="A19" s="13" t="s">
        <v>165</v>
      </c>
      <c r="B19" s="14" t="s">
        <v>166</v>
      </c>
      <c r="C19" t="s">
        <v>109</v>
      </c>
      <c r="D19" t="s">
        <v>25</v>
      </c>
      <c r="E19" s="15">
        <v>20</v>
      </c>
      <c r="F19" t="s">
        <v>26</v>
      </c>
      <c r="G19" t="s">
        <v>27</v>
      </c>
      <c r="H19" t="s">
        <v>100</v>
      </c>
      <c r="I19" t="s">
        <v>27</v>
      </c>
      <c r="J19" t="s">
        <v>85</v>
      </c>
      <c r="K19" s="15">
        <v>5</v>
      </c>
      <c r="L19" s="15">
        <v>3</v>
      </c>
      <c r="N19" s="15">
        <v>1610</v>
      </c>
      <c r="O19" s="15">
        <v>2188</v>
      </c>
      <c r="P19" s="15">
        <v>667</v>
      </c>
      <c r="Q19" s="15">
        <v>579</v>
      </c>
      <c r="R19" s="16">
        <v>5.1589</v>
      </c>
      <c r="S19" s="16">
        <v>2.09</v>
      </c>
      <c r="T19" s="16">
        <v>53.471499999999999</v>
      </c>
      <c r="U19" s="16">
        <v>3.4820000000000002</v>
      </c>
      <c r="V19" s="16">
        <v>3.9056000000000002</v>
      </c>
      <c r="W19" s="16">
        <v>149.3509</v>
      </c>
      <c r="X19" s="16">
        <v>65.0137</v>
      </c>
      <c r="Y19" s="15">
        <v>29</v>
      </c>
      <c r="Z19" s="16">
        <v>97.529499999999999</v>
      </c>
      <c r="AA19" s="15">
        <v>15</v>
      </c>
      <c r="AB19" s="16">
        <v>-46.93</v>
      </c>
      <c r="AC19" s="16">
        <v>11.678800000000001</v>
      </c>
      <c r="AD19" s="16">
        <v>8.9186999999999994</v>
      </c>
      <c r="AE19" s="15">
        <v>21</v>
      </c>
      <c r="AF19" s="15">
        <v>0</v>
      </c>
    </row>
    <row r="20" spans="1:32" x14ac:dyDescent="0.25">
      <c r="A20" s="13" t="s">
        <v>167</v>
      </c>
      <c r="B20" s="14" t="s">
        <v>168</v>
      </c>
      <c r="C20" t="s">
        <v>108</v>
      </c>
      <c r="D20" t="s">
        <v>25</v>
      </c>
      <c r="E20" s="15">
        <v>20</v>
      </c>
      <c r="F20" t="s">
        <v>105</v>
      </c>
      <c r="G20" t="s">
        <v>27</v>
      </c>
      <c r="H20" t="s">
        <v>100</v>
      </c>
      <c r="I20" t="s">
        <v>27</v>
      </c>
      <c r="J20" t="s">
        <v>85</v>
      </c>
      <c r="K20" s="15">
        <v>5</v>
      </c>
      <c r="L20" s="15">
        <v>3</v>
      </c>
      <c r="N20" s="15">
        <v>1610</v>
      </c>
      <c r="O20" s="15">
        <v>2188</v>
      </c>
      <c r="P20" s="15">
        <v>667</v>
      </c>
      <c r="Q20" s="15">
        <v>577</v>
      </c>
      <c r="R20" s="16">
        <v>5.0701999999999998</v>
      </c>
      <c r="S20" s="16">
        <v>2.38</v>
      </c>
      <c r="T20" s="16">
        <v>55.840600000000002</v>
      </c>
      <c r="U20" s="16">
        <v>3.3887</v>
      </c>
      <c r="V20" s="16">
        <v>3.5855000000000001</v>
      </c>
      <c r="W20" s="16">
        <v>146.441</v>
      </c>
      <c r="X20" s="16">
        <v>63.7288</v>
      </c>
      <c r="Y20" s="15">
        <v>29</v>
      </c>
      <c r="Z20" s="16">
        <v>98.960099999999997</v>
      </c>
      <c r="AA20" s="15">
        <v>13</v>
      </c>
      <c r="AB20" s="16">
        <v>-34.805999999999997</v>
      </c>
      <c r="AC20" s="16">
        <v>4.2666000000000004</v>
      </c>
      <c r="AD20" s="16">
        <v>1.5065</v>
      </c>
      <c r="AE20" s="15">
        <v>21</v>
      </c>
      <c r="AF20" s="15">
        <v>0</v>
      </c>
    </row>
    <row r="21" spans="1:32" x14ac:dyDescent="0.25">
      <c r="A21" s="13" t="s">
        <v>169</v>
      </c>
      <c r="B21" s="14" t="s">
        <v>170</v>
      </c>
      <c r="C21" t="s">
        <v>109</v>
      </c>
      <c r="D21" t="s">
        <v>25</v>
      </c>
      <c r="E21" s="15">
        <v>20</v>
      </c>
      <c r="F21" t="s">
        <v>30</v>
      </c>
      <c r="G21" t="s">
        <v>29</v>
      </c>
      <c r="H21" t="s">
        <v>100</v>
      </c>
      <c r="I21" t="s">
        <v>27</v>
      </c>
      <c r="J21" t="s">
        <v>85</v>
      </c>
      <c r="K21" s="15">
        <v>5</v>
      </c>
      <c r="L21" s="15">
        <v>3</v>
      </c>
      <c r="N21" s="15">
        <v>1643</v>
      </c>
      <c r="O21" s="15">
        <v>2188</v>
      </c>
      <c r="P21" s="15">
        <v>667</v>
      </c>
      <c r="Q21" s="15">
        <v>408</v>
      </c>
      <c r="R21" s="16">
        <v>5.4964000000000004</v>
      </c>
      <c r="S21" s="16">
        <v>2.35</v>
      </c>
      <c r="T21" s="16">
        <v>53.872500000000002</v>
      </c>
      <c r="U21" s="16">
        <v>3.4868000000000001</v>
      </c>
      <c r="V21" s="16">
        <v>3.823</v>
      </c>
      <c r="W21" s="16">
        <v>129.26939999999999</v>
      </c>
      <c r="X21" s="16">
        <v>59.097700000000003</v>
      </c>
      <c r="Y21" s="15">
        <v>26</v>
      </c>
      <c r="Z21" s="16">
        <v>35.892600000000002</v>
      </c>
      <c r="AA21" s="15">
        <v>14</v>
      </c>
      <c r="AB21" s="16">
        <v>-38.954000000000001</v>
      </c>
      <c r="AC21" s="16">
        <v>11.5389</v>
      </c>
      <c r="AD21" s="16">
        <v>8.7173999999999996</v>
      </c>
      <c r="AE21" s="15">
        <v>21</v>
      </c>
      <c r="AF21" s="15">
        <v>0</v>
      </c>
    </row>
    <row r="22" spans="1:32" x14ac:dyDescent="0.25">
      <c r="A22" s="13" t="s">
        <v>171</v>
      </c>
      <c r="B22" s="14" t="s">
        <v>172</v>
      </c>
      <c r="C22" t="s">
        <v>108</v>
      </c>
      <c r="D22" t="s">
        <v>25</v>
      </c>
      <c r="E22" s="15">
        <v>20</v>
      </c>
      <c r="F22" t="s">
        <v>30</v>
      </c>
      <c r="G22" t="s">
        <v>29</v>
      </c>
      <c r="H22" t="s">
        <v>100</v>
      </c>
      <c r="I22" t="s">
        <v>27</v>
      </c>
      <c r="J22" t="s">
        <v>85</v>
      </c>
      <c r="K22" s="15">
        <v>5</v>
      </c>
      <c r="L22" s="15">
        <v>3</v>
      </c>
      <c r="N22" s="15">
        <v>1643</v>
      </c>
      <c r="O22" s="15">
        <v>2188</v>
      </c>
      <c r="P22" s="15">
        <v>667</v>
      </c>
      <c r="Q22" s="15">
        <v>408</v>
      </c>
      <c r="R22" s="16">
        <v>4.7754000000000003</v>
      </c>
      <c r="S22" s="16">
        <v>2.0150000000000001</v>
      </c>
      <c r="T22" s="16">
        <v>54.509799999999998</v>
      </c>
      <c r="U22" s="16">
        <v>2.7658</v>
      </c>
      <c r="V22" s="16">
        <v>3.5253000000000001</v>
      </c>
      <c r="W22" s="16">
        <v>128.36789999999999</v>
      </c>
      <c r="X22" s="16">
        <v>58.725200000000001</v>
      </c>
      <c r="Y22" s="15">
        <v>26</v>
      </c>
      <c r="Z22" s="16">
        <v>32.486800000000002</v>
      </c>
      <c r="AA22" s="15">
        <v>11</v>
      </c>
      <c r="AB22" s="16">
        <v>-31.654</v>
      </c>
      <c r="AC22" s="16">
        <v>4.2605000000000004</v>
      </c>
      <c r="AD22" s="16">
        <v>1.4390000000000001</v>
      </c>
      <c r="AE22" s="15">
        <v>21</v>
      </c>
      <c r="AF22" s="1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FE3D2-749F-41E7-9260-C14DC2DE8E81}">
  <dimension ref="A1:AH22"/>
  <sheetViews>
    <sheetView tabSelected="1" workbookViewId="0">
      <selection activeCell="W2" sqref="W2:AB2"/>
    </sheetView>
  </sheetViews>
  <sheetFormatPr defaultRowHeight="15" x14ac:dyDescent="0.25"/>
  <sheetData>
    <row r="1" spans="1:34" x14ac:dyDescent="0.2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</row>
    <row r="2" spans="1:34" x14ac:dyDescent="0.25">
      <c r="A2" s="12" t="s">
        <v>111</v>
      </c>
      <c r="B2" s="12" t="s">
        <v>132</v>
      </c>
      <c r="C2" s="12" t="s">
        <v>4</v>
      </c>
      <c r="D2" s="12" t="s">
        <v>5</v>
      </c>
      <c r="E2" s="12" t="s">
        <v>18</v>
      </c>
      <c r="F2" s="12" t="s">
        <v>8</v>
      </c>
      <c r="G2" s="12" t="s">
        <v>9</v>
      </c>
      <c r="H2" s="12" t="s">
        <v>14</v>
      </c>
      <c r="I2" s="12" t="s">
        <v>15</v>
      </c>
      <c r="J2" s="12" t="s">
        <v>16</v>
      </c>
      <c r="K2" s="12" t="s">
        <v>17</v>
      </c>
      <c r="L2" s="12" t="s">
        <v>12</v>
      </c>
      <c r="M2" s="12" t="s">
        <v>13</v>
      </c>
      <c r="N2" s="12" t="s">
        <v>112</v>
      </c>
      <c r="O2" s="12" t="s">
        <v>113</v>
      </c>
      <c r="P2" s="12" t="s">
        <v>114</v>
      </c>
      <c r="Q2" s="12" t="s">
        <v>115</v>
      </c>
      <c r="R2" s="12" t="s">
        <v>116</v>
      </c>
      <c r="S2" s="12" t="s">
        <v>117</v>
      </c>
      <c r="T2" s="12" t="s">
        <v>118</v>
      </c>
      <c r="U2" s="12" t="s">
        <v>119</v>
      </c>
      <c r="V2" s="12" t="s">
        <v>120</v>
      </c>
      <c r="W2" s="21" t="s">
        <v>121</v>
      </c>
      <c r="X2" s="21" t="s">
        <v>122</v>
      </c>
      <c r="Y2" s="21" t="s">
        <v>123</v>
      </c>
      <c r="Z2" s="21" t="s">
        <v>124</v>
      </c>
      <c r="AA2" s="21" t="s">
        <v>125</v>
      </c>
      <c r="AB2" s="21" t="s">
        <v>126</v>
      </c>
      <c r="AC2" s="12" t="s">
        <v>127</v>
      </c>
      <c r="AD2" s="12" t="s">
        <v>128</v>
      </c>
      <c r="AE2" s="12" t="s">
        <v>129</v>
      </c>
      <c r="AF2" s="12" t="s">
        <v>21</v>
      </c>
      <c r="AG2" s="12" t="s">
        <v>130</v>
      </c>
      <c r="AH2" s="12" t="s">
        <v>131</v>
      </c>
    </row>
    <row r="3" spans="1:34" x14ac:dyDescent="0.25">
      <c r="A3" s="13" t="s">
        <v>157</v>
      </c>
      <c r="B3" s="14" t="s">
        <v>170</v>
      </c>
      <c r="C3" t="s">
        <v>24</v>
      </c>
      <c r="D3" t="s">
        <v>25</v>
      </c>
      <c r="E3" s="15">
        <v>20</v>
      </c>
      <c r="F3" t="s">
        <v>100</v>
      </c>
      <c r="G3" t="s">
        <v>27</v>
      </c>
      <c r="H3" t="s">
        <v>100</v>
      </c>
      <c r="I3" t="s">
        <v>27</v>
      </c>
      <c r="J3" t="s">
        <v>85</v>
      </c>
      <c r="K3" s="17">
        <v>3</v>
      </c>
      <c r="L3" s="17">
        <v>4</v>
      </c>
      <c r="N3" s="15">
        <v>1610</v>
      </c>
      <c r="O3" s="15">
        <v>2188</v>
      </c>
      <c r="P3" s="15">
        <v>667</v>
      </c>
      <c r="Q3" s="15">
        <v>579</v>
      </c>
      <c r="R3" s="18">
        <v>8.4964999999999993</v>
      </c>
      <c r="S3" s="16">
        <v>5.55</v>
      </c>
      <c r="T3" s="16">
        <v>59.067399999999999</v>
      </c>
      <c r="U3" s="16">
        <v>6.8198999999999996</v>
      </c>
      <c r="V3" s="16">
        <v>4.0279999999999996</v>
      </c>
      <c r="W3" s="16">
        <v>245.97399999999999</v>
      </c>
      <c r="X3" s="16">
        <v>107.10599999999999</v>
      </c>
      <c r="Y3" s="15">
        <v>29</v>
      </c>
      <c r="Z3" s="16">
        <v>74.139200000000002</v>
      </c>
      <c r="AA3" s="15">
        <v>13</v>
      </c>
      <c r="AB3" s="16">
        <v>-35.1</v>
      </c>
      <c r="AC3" s="16">
        <v>12.753</v>
      </c>
      <c r="AD3" s="16">
        <v>10.0252</v>
      </c>
      <c r="AE3" s="15">
        <v>21</v>
      </c>
      <c r="AF3" s="15">
        <v>0</v>
      </c>
    </row>
    <row r="4" spans="1:34" x14ac:dyDescent="0.25">
      <c r="A4" s="13" t="s">
        <v>135</v>
      </c>
      <c r="B4" s="14" t="s">
        <v>146</v>
      </c>
      <c r="C4" t="s">
        <v>24</v>
      </c>
      <c r="D4" t="s">
        <v>25</v>
      </c>
      <c r="E4" s="15">
        <v>20</v>
      </c>
      <c r="F4" t="s">
        <v>105</v>
      </c>
      <c r="G4" t="s">
        <v>27</v>
      </c>
      <c r="H4" t="s">
        <v>100</v>
      </c>
      <c r="I4" t="s">
        <v>27</v>
      </c>
      <c r="J4" t="s">
        <v>85</v>
      </c>
      <c r="K4" s="17">
        <v>3</v>
      </c>
      <c r="L4" s="17">
        <v>4</v>
      </c>
      <c r="N4" s="15">
        <v>1610</v>
      </c>
      <c r="O4" s="15">
        <v>2188</v>
      </c>
      <c r="P4" s="15">
        <v>667</v>
      </c>
      <c r="Q4" s="15">
        <v>579</v>
      </c>
      <c r="R4" s="18">
        <v>8.1920000000000002</v>
      </c>
      <c r="S4" s="16">
        <v>4.5999999999999996</v>
      </c>
      <c r="T4" s="16">
        <v>57.455399999999997</v>
      </c>
      <c r="U4" s="16">
        <v>6.5153999999999996</v>
      </c>
      <c r="V4" s="16">
        <v>3.9762</v>
      </c>
      <c r="W4" s="16">
        <v>237.15780000000001</v>
      </c>
      <c r="X4" s="16">
        <v>103.2406</v>
      </c>
      <c r="Y4" s="15">
        <v>29</v>
      </c>
      <c r="Z4" s="16">
        <v>87.719499999999996</v>
      </c>
      <c r="AA4" s="15">
        <v>14</v>
      </c>
      <c r="AB4" s="16">
        <v>-37.833300000000001</v>
      </c>
      <c r="AC4" s="16">
        <v>7.3769999999999998</v>
      </c>
      <c r="AD4" s="16">
        <v>4.6490999999999998</v>
      </c>
      <c r="AE4" s="15">
        <v>21</v>
      </c>
      <c r="AF4" s="15">
        <v>0</v>
      </c>
    </row>
    <row r="5" spans="1:34" x14ac:dyDescent="0.25">
      <c r="A5" s="13" t="s">
        <v>139</v>
      </c>
      <c r="B5" s="14" t="s">
        <v>136</v>
      </c>
      <c r="C5" t="s">
        <v>24</v>
      </c>
      <c r="D5" t="s">
        <v>25</v>
      </c>
      <c r="E5" s="15">
        <v>20</v>
      </c>
      <c r="F5" t="s">
        <v>28</v>
      </c>
      <c r="G5" t="s">
        <v>29</v>
      </c>
      <c r="H5" t="s">
        <v>100</v>
      </c>
      <c r="I5" t="s">
        <v>27</v>
      </c>
      <c r="J5" t="s">
        <v>85</v>
      </c>
      <c r="K5" s="17">
        <v>3</v>
      </c>
      <c r="L5" s="17">
        <v>4</v>
      </c>
      <c r="N5" s="15">
        <v>1610</v>
      </c>
      <c r="O5" s="15">
        <v>2188</v>
      </c>
      <c r="P5" s="15">
        <v>667</v>
      </c>
      <c r="Q5" s="15">
        <v>579</v>
      </c>
      <c r="R5" s="18">
        <v>7.4447000000000001</v>
      </c>
      <c r="S5" s="16">
        <v>3.98</v>
      </c>
      <c r="T5" s="16">
        <v>56.822099999999999</v>
      </c>
      <c r="U5" s="16">
        <v>5.7680999999999996</v>
      </c>
      <c r="V5" s="16">
        <v>4.0214999999999996</v>
      </c>
      <c r="W5" s="16">
        <v>215.52279999999999</v>
      </c>
      <c r="X5" s="16">
        <v>93.847099999999998</v>
      </c>
      <c r="Y5" s="15">
        <v>29</v>
      </c>
      <c r="Z5" s="16">
        <v>69.778700000000001</v>
      </c>
      <c r="AA5" s="15">
        <v>14</v>
      </c>
      <c r="AB5" s="16">
        <v>-38.063299999999998</v>
      </c>
      <c r="AC5" s="16">
        <v>11.8171</v>
      </c>
      <c r="AD5" s="16">
        <v>9.0891999999999999</v>
      </c>
      <c r="AE5" s="15">
        <v>21</v>
      </c>
      <c r="AF5" s="15">
        <v>0</v>
      </c>
    </row>
    <row r="6" spans="1:34" x14ac:dyDescent="0.25">
      <c r="A6" s="13" t="s">
        <v>145</v>
      </c>
      <c r="B6" s="14" t="s">
        <v>160</v>
      </c>
      <c r="C6" t="s">
        <v>24</v>
      </c>
      <c r="D6" t="s">
        <v>25</v>
      </c>
      <c r="E6" s="15">
        <v>20</v>
      </c>
      <c r="F6" t="s">
        <v>101</v>
      </c>
      <c r="G6" t="s">
        <v>27</v>
      </c>
      <c r="H6" t="s">
        <v>100</v>
      </c>
      <c r="I6" t="s">
        <v>27</v>
      </c>
      <c r="J6" t="s">
        <v>85</v>
      </c>
      <c r="K6" s="17">
        <v>3</v>
      </c>
      <c r="L6" s="17">
        <v>4</v>
      </c>
      <c r="N6" s="15">
        <v>1610</v>
      </c>
      <c r="O6" s="15">
        <v>2188</v>
      </c>
      <c r="P6" s="15">
        <v>667</v>
      </c>
      <c r="Q6" s="15">
        <v>579</v>
      </c>
      <c r="R6" s="18">
        <v>7.1719999999999997</v>
      </c>
      <c r="S6" s="16">
        <v>3.5</v>
      </c>
      <c r="T6" s="16">
        <v>56.016100000000002</v>
      </c>
      <c r="U6" s="16">
        <v>5.4954000000000001</v>
      </c>
      <c r="V6" s="16">
        <v>4.0221999999999998</v>
      </c>
      <c r="W6" s="16">
        <v>207.62950000000001</v>
      </c>
      <c r="X6" s="16">
        <v>90.422399999999996</v>
      </c>
      <c r="Y6" s="15">
        <v>29</v>
      </c>
      <c r="Z6" s="16">
        <v>104.89709999999999</v>
      </c>
      <c r="AA6" s="15">
        <v>15</v>
      </c>
      <c r="AB6" s="16">
        <v>-40.4467</v>
      </c>
      <c r="AC6" s="16">
        <v>12.679600000000001</v>
      </c>
      <c r="AD6" s="16">
        <v>9.9518000000000004</v>
      </c>
      <c r="AE6" s="15">
        <v>21</v>
      </c>
      <c r="AF6" s="15">
        <v>0</v>
      </c>
    </row>
    <row r="7" spans="1:34" x14ac:dyDescent="0.25">
      <c r="A7" s="13" t="s">
        <v>133</v>
      </c>
      <c r="B7" s="14" t="s">
        <v>134</v>
      </c>
      <c r="C7" t="s">
        <v>109</v>
      </c>
      <c r="D7" t="s">
        <v>25</v>
      </c>
      <c r="E7" s="15">
        <v>20</v>
      </c>
      <c r="F7" t="s">
        <v>106</v>
      </c>
      <c r="G7" t="s">
        <v>29</v>
      </c>
      <c r="H7" t="s">
        <v>100</v>
      </c>
      <c r="I7" t="s">
        <v>27</v>
      </c>
      <c r="J7" t="s">
        <v>85</v>
      </c>
      <c r="K7" s="17">
        <v>3</v>
      </c>
      <c r="L7" s="17">
        <v>4</v>
      </c>
      <c r="N7" s="15">
        <v>1610</v>
      </c>
      <c r="O7" s="15">
        <v>2188</v>
      </c>
      <c r="P7" s="15">
        <v>667</v>
      </c>
      <c r="Q7" s="15">
        <v>579</v>
      </c>
      <c r="R7" s="18">
        <v>7.1721000000000004</v>
      </c>
      <c r="S7" s="16">
        <v>2.74</v>
      </c>
      <c r="T7" s="16">
        <v>55.1526</v>
      </c>
      <c r="U7" s="16">
        <v>5.4954999999999998</v>
      </c>
      <c r="V7" s="16">
        <v>4.1483999999999996</v>
      </c>
      <c r="W7" s="16">
        <v>207.631</v>
      </c>
      <c r="X7" s="16">
        <v>90.385900000000007</v>
      </c>
      <c r="Y7" s="15">
        <v>29</v>
      </c>
      <c r="Z7" s="16">
        <v>102.07129999999999</v>
      </c>
      <c r="AA7" s="15">
        <v>15</v>
      </c>
      <c r="AB7" s="16">
        <v>-50.36</v>
      </c>
      <c r="AC7" s="16">
        <v>7.8019999999999996</v>
      </c>
      <c r="AD7" s="16">
        <v>5.0740999999999996</v>
      </c>
      <c r="AE7" s="15">
        <v>21</v>
      </c>
      <c r="AF7" s="15">
        <v>0</v>
      </c>
    </row>
    <row r="8" spans="1:34" x14ac:dyDescent="0.25">
      <c r="A8" s="13" t="s">
        <v>143</v>
      </c>
      <c r="B8" s="14" t="s">
        <v>138</v>
      </c>
      <c r="C8" t="s">
        <v>109</v>
      </c>
      <c r="D8" t="s">
        <v>25</v>
      </c>
      <c r="E8" s="15">
        <v>20</v>
      </c>
      <c r="F8" t="s">
        <v>105</v>
      </c>
      <c r="G8" t="s">
        <v>27</v>
      </c>
      <c r="H8" t="s">
        <v>100</v>
      </c>
      <c r="I8" t="s">
        <v>27</v>
      </c>
      <c r="J8" t="s">
        <v>85</v>
      </c>
      <c r="K8" s="17">
        <v>3</v>
      </c>
      <c r="L8" s="17">
        <v>4</v>
      </c>
      <c r="N8" s="15">
        <v>1610</v>
      </c>
      <c r="O8" s="15">
        <v>2188</v>
      </c>
      <c r="P8" s="15">
        <v>667</v>
      </c>
      <c r="Q8" s="15">
        <v>579</v>
      </c>
      <c r="R8" s="18">
        <v>7.0606</v>
      </c>
      <c r="S8" s="16">
        <v>3.35</v>
      </c>
      <c r="T8" s="16">
        <v>56.361499999999999</v>
      </c>
      <c r="U8" s="16">
        <v>5.3840000000000003</v>
      </c>
      <c r="V8" s="16">
        <v>4.1332000000000004</v>
      </c>
      <c r="W8" s="16">
        <v>204.4033</v>
      </c>
      <c r="X8" s="16">
        <v>88.973699999999994</v>
      </c>
      <c r="Y8" s="15">
        <v>29</v>
      </c>
      <c r="Z8" s="16">
        <v>117.2538</v>
      </c>
      <c r="AA8" s="15">
        <v>15</v>
      </c>
      <c r="AB8" s="16">
        <v>-50.36</v>
      </c>
      <c r="AC8" s="16">
        <v>7.9112</v>
      </c>
      <c r="AD8" s="16">
        <v>5.1833</v>
      </c>
      <c r="AE8" s="15">
        <v>21</v>
      </c>
      <c r="AF8" s="15">
        <v>0</v>
      </c>
    </row>
    <row r="9" spans="1:34" x14ac:dyDescent="0.25">
      <c r="A9" s="13" t="s">
        <v>137</v>
      </c>
      <c r="B9" s="14" t="s">
        <v>142</v>
      </c>
      <c r="C9" t="s">
        <v>24</v>
      </c>
      <c r="D9" t="s">
        <v>25</v>
      </c>
      <c r="E9" s="15">
        <v>20</v>
      </c>
      <c r="F9" t="s">
        <v>30</v>
      </c>
      <c r="G9" t="s">
        <v>29</v>
      </c>
      <c r="H9" t="s">
        <v>100</v>
      </c>
      <c r="I9" t="s">
        <v>27</v>
      </c>
      <c r="J9" t="s">
        <v>85</v>
      </c>
      <c r="K9" s="17">
        <v>3</v>
      </c>
      <c r="L9" s="17">
        <v>4</v>
      </c>
      <c r="N9" s="15">
        <v>1643</v>
      </c>
      <c r="O9" s="15">
        <v>2188</v>
      </c>
      <c r="P9" s="15">
        <v>667</v>
      </c>
      <c r="Q9" s="15">
        <v>408</v>
      </c>
      <c r="R9" s="18">
        <v>7.2302999999999997</v>
      </c>
      <c r="S9" s="16">
        <v>3.2549999999999999</v>
      </c>
      <c r="T9" s="16">
        <v>55.310499999999998</v>
      </c>
      <c r="U9" s="16">
        <v>5.2211999999999996</v>
      </c>
      <c r="V9" s="16">
        <v>3.8527</v>
      </c>
      <c r="W9" s="16">
        <v>194.31569999999999</v>
      </c>
      <c r="X9" s="16">
        <v>88.970600000000005</v>
      </c>
      <c r="Y9" s="15">
        <v>26</v>
      </c>
      <c r="Z9" s="16">
        <v>58.204700000000003</v>
      </c>
      <c r="AA9" s="15">
        <v>12</v>
      </c>
      <c r="AB9" s="16">
        <v>-34.340000000000003</v>
      </c>
      <c r="AC9" s="16">
        <v>14.055300000000001</v>
      </c>
      <c r="AD9" s="16">
        <v>11.2658</v>
      </c>
      <c r="AE9" s="15">
        <v>21</v>
      </c>
      <c r="AF9" s="15">
        <v>0</v>
      </c>
    </row>
    <row r="10" spans="1:34" x14ac:dyDescent="0.25">
      <c r="A10" s="13" t="s">
        <v>141</v>
      </c>
      <c r="B10" s="14" t="s">
        <v>154</v>
      </c>
      <c r="C10" t="s">
        <v>109</v>
      </c>
      <c r="D10" t="s">
        <v>25</v>
      </c>
      <c r="E10" s="15">
        <v>20</v>
      </c>
      <c r="F10" t="s">
        <v>100</v>
      </c>
      <c r="G10" t="s">
        <v>27</v>
      </c>
      <c r="H10" t="s">
        <v>100</v>
      </c>
      <c r="I10" t="s">
        <v>27</v>
      </c>
      <c r="J10" t="s">
        <v>85</v>
      </c>
      <c r="K10" s="17">
        <v>3</v>
      </c>
      <c r="L10" s="17">
        <v>4</v>
      </c>
      <c r="N10" s="15">
        <v>1610</v>
      </c>
      <c r="O10" s="15">
        <v>2188</v>
      </c>
      <c r="P10" s="15">
        <v>667</v>
      </c>
      <c r="Q10" s="15">
        <v>579</v>
      </c>
      <c r="R10" s="18">
        <v>7.0221999999999998</v>
      </c>
      <c r="S10" s="16">
        <v>2.74</v>
      </c>
      <c r="T10" s="16">
        <v>55.037399999999998</v>
      </c>
      <c r="U10" s="16">
        <v>5.3456000000000001</v>
      </c>
      <c r="V10" s="16">
        <v>4.1798999999999999</v>
      </c>
      <c r="W10" s="16">
        <v>203.29220000000001</v>
      </c>
      <c r="X10" s="16">
        <v>88.505200000000002</v>
      </c>
      <c r="Y10" s="15">
        <v>29</v>
      </c>
      <c r="Z10" s="16">
        <v>118.60599999999999</v>
      </c>
      <c r="AA10" s="15">
        <v>15</v>
      </c>
      <c r="AB10" s="16">
        <v>-50.36</v>
      </c>
      <c r="AC10" s="16">
        <v>6.1463999999999999</v>
      </c>
      <c r="AD10" s="16">
        <v>3.4184999999999999</v>
      </c>
      <c r="AE10" s="15">
        <v>21</v>
      </c>
      <c r="AF10" s="15">
        <v>0</v>
      </c>
    </row>
    <row r="11" spans="1:34" x14ac:dyDescent="0.25">
      <c r="A11" s="13" t="s">
        <v>167</v>
      </c>
      <c r="B11" s="14" t="s">
        <v>164</v>
      </c>
      <c r="C11" t="s">
        <v>108</v>
      </c>
      <c r="D11" t="s">
        <v>25</v>
      </c>
      <c r="E11" s="15">
        <v>20</v>
      </c>
      <c r="F11" t="s">
        <v>105</v>
      </c>
      <c r="G11" t="s">
        <v>27</v>
      </c>
      <c r="H11" t="s">
        <v>100</v>
      </c>
      <c r="I11" t="s">
        <v>27</v>
      </c>
      <c r="J11" t="s">
        <v>85</v>
      </c>
      <c r="K11" s="17">
        <v>3</v>
      </c>
      <c r="L11" s="17">
        <v>4</v>
      </c>
      <c r="N11" s="15">
        <v>1610</v>
      </c>
      <c r="O11" s="15">
        <v>2188</v>
      </c>
      <c r="P11" s="15">
        <v>667</v>
      </c>
      <c r="Q11" s="15">
        <v>579</v>
      </c>
      <c r="R11" s="18">
        <v>7.0221999999999998</v>
      </c>
      <c r="S11" s="16">
        <v>2.74</v>
      </c>
      <c r="T11" s="16">
        <v>55.037399999999998</v>
      </c>
      <c r="U11" s="16">
        <v>5.3456000000000001</v>
      </c>
      <c r="V11" s="16">
        <v>4.1798999999999999</v>
      </c>
      <c r="W11" s="16">
        <v>203.29220000000001</v>
      </c>
      <c r="X11" s="16">
        <v>88.505200000000002</v>
      </c>
      <c r="Y11" s="15">
        <v>29</v>
      </c>
      <c r="Z11" s="16">
        <v>118.60599999999999</v>
      </c>
      <c r="AA11" s="15">
        <v>15</v>
      </c>
      <c r="AB11" s="16">
        <v>-50.36</v>
      </c>
      <c r="AC11" s="16">
        <v>6.1463999999999999</v>
      </c>
      <c r="AD11" s="16">
        <v>3.4184999999999999</v>
      </c>
      <c r="AE11" s="15">
        <v>21</v>
      </c>
      <c r="AF11" s="15">
        <v>0</v>
      </c>
    </row>
    <row r="12" spans="1:34" x14ac:dyDescent="0.25">
      <c r="A12" s="13" t="s">
        <v>163</v>
      </c>
      <c r="B12" s="14" t="s">
        <v>168</v>
      </c>
      <c r="C12" t="s">
        <v>108</v>
      </c>
      <c r="D12" t="s">
        <v>25</v>
      </c>
      <c r="E12" s="15">
        <v>20</v>
      </c>
      <c r="F12" t="s">
        <v>104</v>
      </c>
      <c r="G12" t="s">
        <v>27</v>
      </c>
      <c r="H12" t="s">
        <v>100</v>
      </c>
      <c r="I12" t="s">
        <v>27</v>
      </c>
      <c r="J12" t="s">
        <v>85</v>
      </c>
      <c r="K12" s="17">
        <v>3</v>
      </c>
      <c r="L12" s="17">
        <v>4</v>
      </c>
      <c r="N12" s="15">
        <v>1610</v>
      </c>
      <c r="O12" s="15">
        <v>2188</v>
      </c>
      <c r="P12" s="15">
        <v>667</v>
      </c>
      <c r="Q12" s="15">
        <v>579</v>
      </c>
      <c r="R12" s="18">
        <v>7.0221999999999998</v>
      </c>
      <c r="S12" s="16">
        <v>2.74</v>
      </c>
      <c r="T12" s="16">
        <v>55.037399999999998</v>
      </c>
      <c r="U12" s="16">
        <v>5.3456000000000001</v>
      </c>
      <c r="V12" s="16">
        <v>4.1798999999999999</v>
      </c>
      <c r="W12" s="16">
        <v>203.29220000000001</v>
      </c>
      <c r="X12" s="16">
        <v>88.505200000000002</v>
      </c>
      <c r="Y12" s="15">
        <v>29</v>
      </c>
      <c r="Z12" s="16">
        <v>118.60599999999999</v>
      </c>
      <c r="AA12" s="15">
        <v>15</v>
      </c>
      <c r="AB12" s="16">
        <v>-50.36</v>
      </c>
      <c r="AC12" s="16">
        <v>6.1463999999999999</v>
      </c>
      <c r="AD12" s="16">
        <v>3.4184999999999999</v>
      </c>
      <c r="AE12" s="15">
        <v>21</v>
      </c>
      <c r="AF12" s="15">
        <v>0</v>
      </c>
    </row>
    <row r="13" spans="1:34" x14ac:dyDescent="0.25">
      <c r="A13" s="13" t="s">
        <v>151</v>
      </c>
      <c r="B13" s="14" t="s">
        <v>148</v>
      </c>
      <c r="C13" t="s">
        <v>109</v>
      </c>
      <c r="D13" t="s">
        <v>25</v>
      </c>
      <c r="E13" s="15">
        <v>20</v>
      </c>
      <c r="F13" t="s">
        <v>104</v>
      </c>
      <c r="G13" t="s">
        <v>27</v>
      </c>
      <c r="H13" t="s">
        <v>100</v>
      </c>
      <c r="I13" t="s">
        <v>27</v>
      </c>
      <c r="J13" t="s">
        <v>85</v>
      </c>
      <c r="K13" s="17">
        <v>3</v>
      </c>
      <c r="L13" s="17">
        <v>4</v>
      </c>
      <c r="N13" s="15">
        <v>1610</v>
      </c>
      <c r="O13" s="15">
        <v>2188</v>
      </c>
      <c r="P13" s="15">
        <v>667</v>
      </c>
      <c r="Q13" s="15">
        <v>579</v>
      </c>
      <c r="R13" s="18">
        <v>6.9881000000000002</v>
      </c>
      <c r="S13" s="16">
        <v>2.74</v>
      </c>
      <c r="T13" s="16">
        <v>55.094999999999999</v>
      </c>
      <c r="U13" s="16">
        <v>5.3116000000000003</v>
      </c>
      <c r="V13" s="16">
        <v>4.1795999999999998</v>
      </c>
      <c r="W13" s="16">
        <v>202.30600000000001</v>
      </c>
      <c r="X13" s="16">
        <v>88.076800000000006</v>
      </c>
      <c r="Y13" s="15">
        <v>29</v>
      </c>
      <c r="Z13" s="16">
        <v>119.1829</v>
      </c>
      <c r="AA13" s="15">
        <v>15</v>
      </c>
      <c r="AB13" s="16">
        <v>-50.36</v>
      </c>
      <c r="AC13" s="16">
        <v>8.3782999999999994</v>
      </c>
      <c r="AD13" s="16">
        <v>5.6504000000000003</v>
      </c>
      <c r="AE13" s="15">
        <v>21</v>
      </c>
      <c r="AF13" s="15">
        <v>0</v>
      </c>
    </row>
    <row r="14" spans="1:34" x14ac:dyDescent="0.25">
      <c r="A14" s="13" t="s">
        <v>147</v>
      </c>
      <c r="B14" s="14" t="s">
        <v>156</v>
      </c>
      <c r="C14" t="s">
        <v>109</v>
      </c>
      <c r="D14" t="s">
        <v>25</v>
      </c>
      <c r="E14" s="15">
        <v>20</v>
      </c>
      <c r="F14" t="s">
        <v>28</v>
      </c>
      <c r="G14" t="s">
        <v>29</v>
      </c>
      <c r="H14" t="s">
        <v>100</v>
      </c>
      <c r="I14" t="s">
        <v>27</v>
      </c>
      <c r="J14" t="s">
        <v>85</v>
      </c>
      <c r="K14" s="17">
        <v>3</v>
      </c>
      <c r="L14" s="17">
        <v>4</v>
      </c>
      <c r="N14" s="15">
        <v>1610</v>
      </c>
      <c r="O14" s="15">
        <v>2188</v>
      </c>
      <c r="P14" s="15">
        <v>667</v>
      </c>
      <c r="Q14" s="15">
        <v>579</v>
      </c>
      <c r="R14" s="18">
        <v>6.8539000000000003</v>
      </c>
      <c r="S14" s="16">
        <v>2.77</v>
      </c>
      <c r="T14" s="16">
        <v>55.1526</v>
      </c>
      <c r="U14" s="16">
        <v>5.1772999999999998</v>
      </c>
      <c r="V14" s="16">
        <v>4.1626000000000003</v>
      </c>
      <c r="W14" s="16">
        <v>198.42</v>
      </c>
      <c r="X14" s="16">
        <v>86.395899999999997</v>
      </c>
      <c r="Y14" s="15">
        <v>29</v>
      </c>
      <c r="Z14" s="16">
        <v>122.08499999999999</v>
      </c>
      <c r="AA14" s="15">
        <v>15</v>
      </c>
      <c r="AB14" s="16">
        <v>-50.36</v>
      </c>
      <c r="AC14" s="16">
        <v>7.8871000000000002</v>
      </c>
      <c r="AD14" s="16">
        <v>5.1592000000000002</v>
      </c>
      <c r="AE14" s="15">
        <v>21</v>
      </c>
      <c r="AF14" s="15">
        <v>0</v>
      </c>
    </row>
    <row r="15" spans="1:34" x14ac:dyDescent="0.25">
      <c r="A15" s="13" t="s">
        <v>149</v>
      </c>
      <c r="B15" s="14" t="s">
        <v>152</v>
      </c>
      <c r="C15" t="s">
        <v>109</v>
      </c>
      <c r="D15" t="s">
        <v>25</v>
      </c>
      <c r="E15" s="15">
        <v>20</v>
      </c>
      <c r="F15" t="s">
        <v>110</v>
      </c>
      <c r="G15" t="s">
        <v>27</v>
      </c>
      <c r="H15" t="s">
        <v>100</v>
      </c>
      <c r="I15" t="s">
        <v>27</v>
      </c>
      <c r="J15" t="s">
        <v>85</v>
      </c>
      <c r="K15" s="17">
        <v>3</v>
      </c>
      <c r="L15" s="17">
        <v>4</v>
      </c>
      <c r="N15" s="15">
        <v>1610</v>
      </c>
      <c r="O15" s="15">
        <v>2188</v>
      </c>
      <c r="P15" s="15">
        <v>667</v>
      </c>
      <c r="Q15" s="15">
        <v>579</v>
      </c>
      <c r="R15" s="18">
        <v>6.7615999999999996</v>
      </c>
      <c r="S15" s="16">
        <v>2.65</v>
      </c>
      <c r="T15" s="16">
        <v>54.979900000000001</v>
      </c>
      <c r="U15" s="16">
        <v>5.085</v>
      </c>
      <c r="V15" s="16">
        <v>4.1772</v>
      </c>
      <c r="W15" s="16">
        <v>195.7483</v>
      </c>
      <c r="X15" s="16">
        <v>85.227599999999995</v>
      </c>
      <c r="Y15" s="15">
        <v>29</v>
      </c>
      <c r="Z15" s="16">
        <v>123.1673</v>
      </c>
      <c r="AA15" s="15">
        <v>15</v>
      </c>
      <c r="AB15" s="16">
        <v>-50.36</v>
      </c>
      <c r="AC15" s="16">
        <v>6.1463999999999999</v>
      </c>
      <c r="AD15" s="16">
        <v>3.4184999999999999</v>
      </c>
      <c r="AE15" s="15">
        <v>21</v>
      </c>
      <c r="AF15" s="15">
        <v>0</v>
      </c>
    </row>
    <row r="16" spans="1:34" x14ac:dyDescent="0.25">
      <c r="A16" s="13" t="s">
        <v>153</v>
      </c>
      <c r="B16" s="14" t="s">
        <v>166</v>
      </c>
      <c r="C16" t="s">
        <v>109</v>
      </c>
      <c r="D16" t="s">
        <v>25</v>
      </c>
      <c r="E16" s="15">
        <v>20</v>
      </c>
      <c r="F16" t="s">
        <v>101</v>
      </c>
      <c r="G16" t="s">
        <v>27</v>
      </c>
      <c r="H16" t="s">
        <v>100</v>
      </c>
      <c r="I16" t="s">
        <v>27</v>
      </c>
      <c r="J16" t="s">
        <v>85</v>
      </c>
      <c r="K16" s="17">
        <v>3</v>
      </c>
      <c r="L16" s="17">
        <v>4</v>
      </c>
      <c r="N16" s="15">
        <v>1610</v>
      </c>
      <c r="O16" s="15">
        <v>2188</v>
      </c>
      <c r="P16" s="15">
        <v>667</v>
      </c>
      <c r="Q16" s="15">
        <v>579</v>
      </c>
      <c r="R16" s="18">
        <v>6.6946000000000003</v>
      </c>
      <c r="S16" s="16">
        <v>2.78</v>
      </c>
      <c r="T16" s="16">
        <v>55.325299999999999</v>
      </c>
      <c r="U16" s="16">
        <v>5.0180999999999996</v>
      </c>
      <c r="V16" s="16">
        <v>4.1680000000000001</v>
      </c>
      <c r="W16" s="16">
        <v>193.8092</v>
      </c>
      <c r="X16" s="16">
        <v>84.359200000000001</v>
      </c>
      <c r="Y16" s="15">
        <v>29</v>
      </c>
      <c r="Z16" s="16">
        <v>109.2088</v>
      </c>
      <c r="AA16" s="15">
        <v>15</v>
      </c>
      <c r="AB16" s="16">
        <v>-50.36</v>
      </c>
      <c r="AC16" s="16">
        <v>8.4339999999999993</v>
      </c>
      <c r="AD16" s="16">
        <v>5.7061000000000002</v>
      </c>
      <c r="AE16" s="15">
        <v>21</v>
      </c>
      <c r="AF16" s="15">
        <v>0</v>
      </c>
    </row>
    <row r="17" spans="1:32" x14ac:dyDescent="0.25">
      <c r="A17" s="13" t="s">
        <v>161</v>
      </c>
      <c r="B17" s="14" t="s">
        <v>158</v>
      </c>
      <c r="C17" t="s">
        <v>24</v>
      </c>
      <c r="D17" t="s">
        <v>25</v>
      </c>
      <c r="E17" s="15">
        <v>20</v>
      </c>
      <c r="F17" t="s">
        <v>26</v>
      </c>
      <c r="G17" t="s">
        <v>27</v>
      </c>
      <c r="H17" t="s">
        <v>100</v>
      </c>
      <c r="I17" t="s">
        <v>27</v>
      </c>
      <c r="J17" t="s">
        <v>85</v>
      </c>
      <c r="K17" s="17">
        <v>3</v>
      </c>
      <c r="L17" s="17">
        <v>4</v>
      </c>
      <c r="N17" s="15">
        <v>1610</v>
      </c>
      <c r="O17" s="15">
        <v>2188</v>
      </c>
      <c r="P17" s="15">
        <v>667</v>
      </c>
      <c r="Q17" s="15">
        <v>579</v>
      </c>
      <c r="R17" s="18">
        <v>6.5875000000000004</v>
      </c>
      <c r="S17" s="16">
        <v>2.88</v>
      </c>
      <c r="T17" s="16">
        <v>55.267699999999998</v>
      </c>
      <c r="U17" s="16">
        <v>4.9109999999999996</v>
      </c>
      <c r="V17" s="16">
        <v>3.9876</v>
      </c>
      <c r="W17" s="16">
        <v>190.70869999999999</v>
      </c>
      <c r="X17" s="16">
        <v>83.043899999999994</v>
      </c>
      <c r="Y17" s="15">
        <v>29</v>
      </c>
      <c r="Z17" s="16">
        <v>112.0896</v>
      </c>
      <c r="AA17" s="15">
        <v>15</v>
      </c>
      <c r="AB17" s="16">
        <v>-38.973300000000002</v>
      </c>
      <c r="AC17" s="16">
        <v>12.4251</v>
      </c>
      <c r="AD17" s="16">
        <v>9.6972000000000005</v>
      </c>
      <c r="AE17" s="15">
        <v>21</v>
      </c>
      <c r="AF17" s="15">
        <v>0</v>
      </c>
    </row>
    <row r="18" spans="1:32" x14ac:dyDescent="0.25">
      <c r="A18" s="13" t="s">
        <v>155</v>
      </c>
      <c r="B18" s="14" t="s">
        <v>144</v>
      </c>
      <c r="C18" t="s">
        <v>109</v>
      </c>
      <c r="D18" t="s">
        <v>25</v>
      </c>
      <c r="E18" s="15">
        <v>20</v>
      </c>
      <c r="F18" t="s">
        <v>103</v>
      </c>
      <c r="G18" t="s">
        <v>27</v>
      </c>
      <c r="H18" t="s">
        <v>100</v>
      </c>
      <c r="I18" t="s">
        <v>27</v>
      </c>
      <c r="J18" t="s">
        <v>85</v>
      </c>
      <c r="K18" s="17">
        <v>3</v>
      </c>
      <c r="L18" s="17">
        <v>4</v>
      </c>
      <c r="N18" s="15">
        <v>1610</v>
      </c>
      <c r="O18" s="15">
        <v>2188</v>
      </c>
      <c r="P18" s="15">
        <v>667</v>
      </c>
      <c r="Q18" s="15">
        <v>579</v>
      </c>
      <c r="R18" s="18">
        <v>6.5697000000000001</v>
      </c>
      <c r="S18" s="16">
        <v>2.5499999999999998</v>
      </c>
      <c r="T18" s="16">
        <v>54.807099999999998</v>
      </c>
      <c r="U18" s="16">
        <v>4.8930999999999996</v>
      </c>
      <c r="V18" s="16">
        <v>4.1704999999999997</v>
      </c>
      <c r="W18" s="16">
        <v>190.19300000000001</v>
      </c>
      <c r="X18" s="16">
        <v>82.796700000000001</v>
      </c>
      <c r="Y18" s="15">
        <v>29</v>
      </c>
      <c r="Z18" s="16">
        <v>126.7835</v>
      </c>
      <c r="AA18" s="15">
        <v>15</v>
      </c>
      <c r="AB18" s="16">
        <v>-50.36</v>
      </c>
      <c r="AC18" s="16">
        <v>9.5922000000000001</v>
      </c>
      <c r="AD18" s="16">
        <v>6.8643000000000001</v>
      </c>
      <c r="AE18" s="15">
        <v>21</v>
      </c>
      <c r="AF18" s="15">
        <v>0</v>
      </c>
    </row>
    <row r="19" spans="1:32" x14ac:dyDescent="0.25">
      <c r="A19" s="13" t="s">
        <v>159</v>
      </c>
      <c r="B19" s="14" t="s">
        <v>150</v>
      </c>
      <c r="C19" t="s">
        <v>109</v>
      </c>
      <c r="D19" t="s">
        <v>25</v>
      </c>
      <c r="E19" s="15">
        <v>20</v>
      </c>
      <c r="F19" t="s">
        <v>102</v>
      </c>
      <c r="G19" t="s">
        <v>27</v>
      </c>
      <c r="H19" t="s">
        <v>100</v>
      </c>
      <c r="I19" t="s">
        <v>27</v>
      </c>
      <c r="J19" t="s">
        <v>85</v>
      </c>
      <c r="K19" s="17">
        <v>3</v>
      </c>
      <c r="L19" s="17">
        <v>4</v>
      </c>
      <c r="N19" s="15">
        <v>1610</v>
      </c>
      <c r="O19" s="15">
        <v>2188</v>
      </c>
      <c r="P19" s="15">
        <v>667</v>
      </c>
      <c r="Q19" s="15">
        <v>579</v>
      </c>
      <c r="R19" s="18">
        <v>6.5591999999999997</v>
      </c>
      <c r="S19" s="16">
        <v>2.65</v>
      </c>
      <c r="T19" s="16">
        <v>54.979900000000001</v>
      </c>
      <c r="U19" s="16">
        <v>4.8826999999999998</v>
      </c>
      <c r="V19" s="16">
        <v>4.1687000000000003</v>
      </c>
      <c r="W19" s="16">
        <v>189.88929999999999</v>
      </c>
      <c r="X19" s="16">
        <v>82.681899999999999</v>
      </c>
      <c r="Y19" s="15">
        <v>29</v>
      </c>
      <c r="Z19" s="16">
        <v>119.8968</v>
      </c>
      <c r="AA19" s="15">
        <v>15</v>
      </c>
      <c r="AB19" s="16">
        <v>-50.36</v>
      </c>
      <c r="AC19" s="16">
        <v>9.5841999999999992</v>
      </c>
      <c r="AD19" s="16">
        <v>6.8563999999999998</v>
      </c>
      <c r="AE19" s="15">
        <v>21</v>
      </c>
      <c r="AF19" s="15">
        <v>0</v>
      </c>
    </row>
    <row r="20" spans="1:32" x14ac:dyDescent="0.25">
      <c r="A20" s="13" t="s">
        <v>171</v>
      </c>
      <c r="B20" s="14" t="s">
        <v>172</v>
      </c>
      <c r="C20" t="s">
        <v>108</v>
      </c>
      <c r="D20" t="s">
        <v>25</v>
      </c>
      <c r="E20" s="15">
        <v>20</v>
      </c>
      <c r="F20" t="s">
        <v>30</v>
      </c>
      <c r="G20" t="s">
        <v>29</v>
      </c>
      <c r="H20" t="s">
        <v>100</v>
      </c>
      <c r="I20" t="s">
        <v>27</v>
      </c>
      <c r="J20" t="s">
        <v>85</v>
      </c>
      <c r="K20" s="17">
        <v>3</v>
      </c>
      <c r="L20" s="17">
        <v>4</v>
      </c>
      <c r="N20" s="15">
        <v>1643</v>
      </c>
      <c r="O20" s="15">
        <v>2188</v>
      </c>
      <c r="P20" s="15">
        <v>667</v>
      </c>
      <c r="Q20" s="15">
        <v>408</v>
      </c>
      <c r="R20" s="18">
        <v>7.0080999999999998</v>
      </c>
      <c r="S20" s="16">
        <v>2.6850000000000001</v>
      </c>
      <c r="T20" s="16">
        <v>54.738599999999998</v>
      </c>
      <c r="U20" s="16">
        <v>4.9989999999999997</v>
      </c>
      <c r="V20" s="16">
        <v>4.0875000000000004</v>
      </c>
      <c r="W20" s="16">
        <v>171.74119999999999</v>
      </c>
      <c r="X20" s="16">
        <v>78.605800000000002</v>
      </c>
      <c r="Y20" s="15">
        <v>26</v>
      </c>
      <c r="Z20" s="16">
        <v>38.205399999999997</v>
      </c>
      <c r="AA20" s="15">
        <v>13</v>
      </c>
      <c r="AB20" s="16">
        <v>-44.063299999999998</v>
      </c>
      <c r="AC20" s="16">
        <v>6.2976000000000001</v>
      </c>
      <c r="AD20" s="16">
        <v>3.5081000000000002</v>
      </c>
      <c r="AE20" s="15">
        <v>21</v>
      </c>
      <c r="AF20" s="15">
        <v>0</v>
      </c>
    </row>
    <row r="21" spans="1:32" x14ac:dyDescent="0.25">
      <c r="A21" s="13" t="s">
        <v>165</v>
      </c>
      <c r="B21" s="14" t="s">
        <v>162</v>
      </c>
      <c r="C21" t="s">
        <v>109</v>
      </c>
      <c r="D21" t="s">
        <v>25</v>
      </c>
      <c r="E21" s="15">
        <v>20</v>
      </c>
      <c r="F21" t="s">
        <v>26</v>
      </c>
      <c r="G21" t="s">
        <v>27</v>
      </c>
      <c r="H21" t="s">
        <v>100</v>
      </c>
      <c r="I21" t="s">
        <v>27</v>
      </c>
      <c r="J21" t="s">
        <v>85</v>
      </c>
      <c r="K21" s="17">
        <v>3</v>
      </c>
      <c r="L21" s="17">
        <v>4</v>
      </c>
      <c r="N21" s="15">
        <v>1610</v>
      </c>
      <c r="O21" s="15">
        <v>2188</v>
      </c>
      <c r="P21" s="15">
        <v>667</v>
      </c>
      <c r="Q21" s="15">
        <v>579</v>
      </c>
      <c r="R21" s="18">
        <v>5.4317000000000002</v>
      </c>
      <c r="S21" s="16">
        <v>2.33</v>
      </c>
      <c r="T21" s="16">
        <v>54.4617</v>
      </c>
      <c r="U21" s="16">
        <v>3.7551000000000001</v>
      </c>
      <c r="V21" s="16">
        <v>4.1199000000000003</v>
      </c>
      <c r="W21" s="16">
        <v>157.24780000000001</v>
      </c>
      <c r="X21" s="16">
        <v>68.471400000000003</v>
      </c>
      <c r="Y21" s="15">
        <v>29</v>
      </c>
      <c r="Z21" s="16">
        <v>141.73869999999999</v>
      </c>
      <c r="AA21" s="15">
        <v>15</v>
      </c>
      <c r="AB21" s="16">
        <v>-50.36</v>
      </c>
      <c r="AC21" s="16">
        <v>9.8569999999999993</v>
      </c>
      <c r="AD21" s="16">
        <v>7.1291000000000002</v>
      </c>
      <c r="AE21" s="15">
        <v>21</v>
      </c>
      <c r="AF21" s="15">
        <v>0</v>
      </c>
    </row>
    <row r="22" spans="1:32" x14ac:dyDescent="0.25">
      <c r="A22" s="13" t="s">
        <v>169</v>
      </c>
      <c r="B22" s="14" t="s">
        <v>140</v>
      </c>
      <c r="C22" t="s">
        <v>109</v>
      </c>
      <c r="D22" t="s">
        <v>25</v>
      </c>
      <c r="E22" s="15">
        <v>20</v>
      </c>
      <c r="F22" t="s">
        <v>30</v>
      </c>
      <c r="G22" t="s">
        <v>29</v>
      </c>
      <c r="H22" t="s">
        <v>100</v>
      </c>
      <c r="I22" t="s">
        <v>27</v>
      </c>
      <c r="J22" t="s">
        <v>85</v>
      </c>
      <c r="K22" s="17">
        <v>3</v>
      </c>
      <c r="L22" s="17">
        <v>4</v>
      </c>
      <c r="N22" s="15">
        <v>1643</v>
      </c>
      <c r="O22" s="15">
        <v>2188</v>
      </c>
      <c r="P22" s="15">
        <v>667</v>
      </c>
      <c r="Q22" s="15">
        <v>408</v>
      </c>
      <c r="R22" s="18">
        <v>5.2480000000000002</v>
      </c>
      <c r="S22" s="16">
        <v>2.2400000000000002</v>
      </c>
      <c r="T22" s="16">
        <v>54.003300000000003</v>
      </c>
      <c r="U22" s="16">
        <v>3.2387999999999999</v>
      </c>
      <c r="V22" s="16">
        <v>4.0103999999999997</v>
      </c>
      <c r="W22" s="16">
        <v>122.8797</v>
      </c>
      <c r="X22" s="16">
        <v>56.244300000000003</v>
      </c>
      <c r="Y22" s="15">
        <v>26</v>
      </c>
      <c r="Z22" s="16">
        <v>46.555999999999997</v>
      </c>
      <c r="AA22" s="15">
        <v>14</v>
      </c>
      <c r="AB22" s="16">
        <v>-44.063299999999998</v>
      </c>
      <c r="AC22" s="16">
        <v>8.9486000000000008</v>
      </c>
      <c r="AD22" s="16">
        <v>6.1590999999999996</v>
      </c>
      <c r="AE22" s="15">
        <v>21</v>
      </c>
      <c r="AF22" s="15">
        <v>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Runs</vt:lpstr>
      <vt:lpstr>Settings</vt:lpstr>
      <vt:lpstr>Legend</vt:lpstr>
      <vt:lpstr>RA1</vt:lpstr>
      <vt:lpstr>RA2</vt:lpstr>
      <vt:lpstr>RA_1</vt:lpstr>
      <vt:lpstr>RA_2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2026-08-05T14:54:45Z</dcterms:created>
  <dcterms:modified xsi:type="dcterms:W3CDTF">2026-08-11T18:37:57Z</dcterms:modified>
</cp:coreProperties>
</file>