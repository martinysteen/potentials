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Gandalf\sm-home\potentials\strategy_grp2\app\control\"/>
    </mc:Choice>
  </mc:AlternateContent>
  <xr:revisionPtr revIDLastSave="0" documentId="13_ncr:1_{E9C7AAA3-EEB5-405A-96D4-9499EE2EA584}" xr6:coauthVersionLast="47" xr6:coauthVersionMax="47" xr10:uidLastSave="{00000000-0000-0000-0000-000000000000}"/>
  <bookViews>
    <workbookView xWindow="0" yWindow="2565" windowWidth="34695" windowHeight="14160" xr2:uid="{00000000-000D-0000-FFFF-FFFF00000000}"/>
  </bookViews>
  <sheets>
    <sheet name="Runs" sheetId="1" r:id="rId1"/>
    <sheet name="Settings" sheetId="2" r:id="rId2"/>
    <sheet name="Legend" sheetId="3" r:id="rId3"/>
  </sheets>
  <calcPr calcId="191029"/>
</workbook>
</file>

<file path=xl/calcChain.xml><?xml version="1.0" encoding="utf-8"?>
<calcChain xmlns="http://schemas.openxmlformats.org/spreadsheetml/2006/main">
  <c r="C78" i="1" l="1"/>
  <c r="C79" i="1" s="1"/>
  <c r="E79" i="1" s="1"/>
  <c r="C3" i="1"/>
  <c r="E2" i="1"/>
  <c r="C4" i="1" l="1"/>
  <c r="E3" i="1"/>
  <c r="C5" i="1" l="1"/>
  <c r="E4" i="1"/>
  <c r="C6" i="1" l="1"/>
  <c r="E5" i="1"/>
  <c r="C7" i="1" l="1"/>
  <c r="C8" i="1" s="1"/>
  <c r="E6" i="1"/>
  <c r="C9" i="1" l="1"/>
  <c r="E8" i="1"/>
  <c r="E7" i="1"/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E9" i="1"/>
  <c r="C22" i="1"/>
  <c r="E21" i="1"/>
  <c r="C23" i="1" l="1"/>
  <c r="C24" i="1" s="1"/>
  <c r="C25" i="1" s="1"/>
  <c r="C26" i="1" s="1"/>
  <c r="E22" i="1"/>
  <c r="C27" i="1" l="1"/>
  <c r="E26" i="1"/>
  <c r="C28" i="1" l="1"/>
  <c r="E27" i="1"/>
  <c r="C29" i="1" l="1"/>
  <c r="E28" i="1"/>
  <c r="C30" i="1" l="1"/>
  <c r="E29" i="1"/>
  <c r="C31" i="1" l="1"/>
  <c r="E30" i="1"/>
  <c r="C32" i="1" l="1"/>
  <c r="E31" i="1"/>
  <c r="C33" i="1" l="1"/>
  <c r="E32" i="1"/>
  <c r="C34" i="1" l="1"/>
  <c r="E33" i="1"/>
  <c r="C35" i="1" l="1"/>
  <c r="E34" i="1"/>
  <c r="C36" i="1" l="1"/>
  <c r="E35" i="1"/>
  <c r="E36" i="1" l="1"/>
  <c r="C37" i="1"/>
  <c r="C38" i="1" l="1"/>
  <c r="E37" i="1"/>
  <c r="E38" i="1" l="1"/>
  <c r="C39" i="1"/>
  <c r="C40" i="1" l="1"/>
  <c r="E39" i="1"/>
  <c r="C41" i="1" l="1"/>
  <c r="E40" i="1"/>
  <c r="E41" i="1" l="1"/>
  <c r="C42" i="1"/>
  <c r="C43" i="1" l="1"/>
  <c r="E42" i="1"/>
  <c r="C44" i="1" l="1"/>
  <c r="E43" i="1"/>
  <c r="C45" i="1" l="1"/>
  <c r="E44" i="1"/>
  <c r="E45" i="1" l="1"/>
  <c r="C46" i="1"/>
  <c r="C47" i="1" l="1"/>
  <c r="E46" i="1"/>
  <c r="C48" i="1" l="1"/>
  <c r="E47" i="1"/>
  <c r="C49" i="1" l="1"/>
  <c r="E48" i="1"/>
  <c r="C50" i="1" l="1"/>
  <c r="E49" i="1"/>
  <c r="C51" i="1" l="1"/>
  <c r="E50" i="1"/>
  <c r="C52" i="1" l="1"/>
  <c r="E51" i="1"/>
  <c r="C53" i="1" l="1"/>
  <c r="E52" i="1"/>
  <c r="C54" i="1" l="1"/>
  <c r="E53" i="1"/>
  <c r="C55" i="1" l="1"/>
  <c r="E54" i="1"/>
  <c r="C56" i="1" l="1"/>
  <c r="E55" i="1"/>
  <c r="C57" i="1" l="1"/>
  <c r="E56" i="1"/>
  <c r="C58" i="1" l="1"/>
  <c r="E57" i="1"/>
  <c r="C59" i="1" l="1"/>
  <c r="E58" i="1"/>
  <c r="C60" i="1" l="1"/>
  <c r="E59" i="1"/>
  <c r="C61" i="1" l="1"/>
  <c r="E60" i="1"/>
  <c r="C62" i="1" l="1"/>
  <c r="E61" i="1"/>
  <c r="C63" i="1" l="1"/>
  <c r="E62" i="1"/>
  <c r="C64" i="1" l="1"/>
  <c r="E63" i="1"/>
  <c r="C65" i="1" l="1"/>
  <c r="E64" i="1"/>
  <c r="C66" i="1" l="1"/>
  <c r="E65" i="1"/>
  <c r="C67" i="1" l="1"/>
  <c r="E66" i="1"/>
  <c r="C68" i="1" l="1"/>
  <c r="E67" i="1"/>
  <c r="C69" i="1" l="1"/>
  <c r="E68" i="1"/>
  <c r="E69" i="1" l="1"/>
  <c r="C70" i="1"/>
  <c r="E70" i="1" l="1"/>
  <c r="C71" i="1"/>
  <c r="E71" i="1" l="1"/>
  <c r="C72" i="1"/>
  <c r="E72" i="1" l="1"/>
  <c r="C73" i="1"/>
  <c r="E73" i="1" l="1"/>
  <c r="C74" i="1"/>
  <c r="E74" i="1" l="1"/>
  <c r="C75" i="1"/>
  <c r="C76" i="1" l="1"/>
  <c r="E75" i="1"/>
  <c r="C77" i="1" l="1"/>
  <c r="E78" i="1"/>
  <c r="C80" i="1"/>
  <c r="E77" i="1"/>
  <c r="E76" i="1"/>
  <c r="E80" i="1" l="1"/>
  <c r="C81" i="1"/>
  <c r="C82" i="1" l="1"/>
  <c r="E81" i="1"/>
  <c r="C83" i="1" l="1"/>
  <c r="E82" i="1"/>
  <c r="C84" i="1" l="1"/>
  <c r="E83" i="1"/>
  <c r="C85" i="1" l="1"/>
  <c r="E84" i="1"/>
  <c r="C86" i="1" l="1"/>
  <c r="E85" i="1"/>
  <c r="C87" i="1" l="1"/>
  <c r="E86" i="1"/>
  <c r="C88" i="1" l="1"/>
  <c r="E88" i="1" s="1"/>
  <c r="E87" i="1"/>
</calcChain>
</file>

<file path=xl/sharedStrings.xml><?xml version="1.0" encoding="utf-8"?>
<sst xmlns="http://schemas.openxmlformats.org/spreadsheetml/2006/main" count="884" uniqueCount="177">
  <si>
    <t>D</t>
  </si>
  <si>
    <t>P</t>
  </si>
  <si>
    <t>label</t>
  </si>
  <si>
    <t>note</t>
  </si>
  <si>
    <t>group_expression</t>
  </si>
  <si>
    <t>level</t>
  </si>
  <si>
    <t>persistence_window</t>
  </si>
  <si>
    <t>persistence_frac</t>
  </si>
  <si>
    <t>dominance_attribute</t>
  </si>
  <si>
    <t>dominance_direction</t>
  </si>
  <si>
    <t>dominance_decile</t>
  </si>
  <si>
    <t>dom_count_min</t>
  </si>
  <si>
    <t>tickers_per_group</t>
  </si>
  <si>
    <t>post_filter</t>
  </si>
  <si>
    <t>priority_attribute</t>
  </si>
  <si>
    <t>priority_direction</t>
  </si>
  <si>
    <t>from_rank</t>
  </si>
  <si>
    <t>focusset_size</t>
  </si>
  <si>
    <t>stop_loss</t>
  </si>
  <si>
    <t>period</t>
  </si>
  <si>
    <t>no_go_gspc_rsi</t>
  </si>
  <si>
    <t>informational_attributes</t>
  </si>
  <si>
    <t>wf_group</t>
  </si>
  <si>
    <t>x</t>
  </si>
  <si>
    <t>Bedst</t>
  </si>
  <si>
    <t>Stamdata.GICS</t>
  </si>
  <si>
    <t>A</t>
  </si>
  <si>
    <t>beta3m</t>
  </si>
  <si>
    <t>big_wins</t>
  </si>
  <si>
    <t>rank, rsi, vola20d</t>
  </si>
  <si>
    <t>God</t>
  </si>
  <si>
    <t>PdivMA20</t>
  </si>
  <si>
    <t>rank</t>
  </si>
  <si>
    <t>small_wins</t>
  </si>
  <si>
    <t>sh3m</t>
  </si>
  <si>
    <t>Fkgr-beta3m(beta3m 1)</t>
  </si>
  <si>
    <t>Stamdata.Fkgrade</t>
  </si>
  <si>
    <t>Fkgr-median_30d(beta3m 1)</t>
  </si>
  <si>
    <t>median_30d</t>
  </si>
  <si>
    <t>Fkgr-PdivMA20(beta3m 1)</t>
  </si>
  <si>
    <t>Fkgr-per20d(beta3m 1)</t>
  </si>
  <si>
    <t>per20d</t>
  </si>
  <si>
    <t>Fkgr-quot1020(beta3m 1)</t>
  </si>
  <si>
    <t>quot1020</t>
  </si>
  <si>
    <t>Fkgr-quot2050(beta3m 1)</t>
  </si>
  <si>
    <t>quot2050</t>
  </si>
  <si>
    <t>Fkgr-rank(beta3m 1)</t>
  </si>
  <si>
    <t>Fkgr-rsi(beta3m 1)</t>
  </si>
  <si>
    <t>rsi</t>
  </si>
  <si>
    <t>Fkgr-sh3m(beta3m 1)</t>
  </si>
  <si>
    <t>Fkgr-spr100d(beta3m 1)</t>
  </si>
  <si>
    <t>spr100d</t>
  </si>
  <si>
    <t>Fkgr-vola20d(beta3m 1)</t>
  </si>
  <si>
    <t>vola20d</t>
  </si>
  <si>
    <t>ZONE-quot2050(beta3m 1)</t>
  </si>
  <si>
    <t>Stamdata.ZONE</t>
  </si>
  <si>
    <t>ZONE-sh3m(beta3m 1)</t>
  </si>
  <si>
    <t>ZONE-spr100d(beta3m 1)</t>
  </si>
  <si>
    <t>setting</t>
  </si>
  <si>
    <t>value</t>
  </si>
  <si>
    <t>help</t>
  </si>
  <si>
    <t>min_chain_lots</t>
  </si>
  <si>
    <t>Lots a run's chain must realize before it may represent its row on the Step3_compare sheet (eligibility floor, not a hard stop — see strategy_grp CLAUDE.md's MIN_CHAIN_LOTS write-up).</t>
  </si>
  <si>
    <t>wf_min_train</t>
  </si>
  <si>
    <t>Walk-forward: minimum training window (daynums).</t>
  </si>
  <si>
    <t>wf_test_len</t>
  </si>
  <si>
    <t>Walk-forward: test window length (daynums).</t>
  </si>
  <si>
    <t>archive_on_run</t>
  </si>
  <si>
    <t>Move prior dated output workbooks to _archive/ once new output exists.</t>
  </si>
  <si>
    <t>production_strategy_count</t>
  </si>
  <si>
    <t>Not currently enforced by the code -- every active row's gross list ships in StrategicStocks.xlsx (bare tick and --production alike).</t>
  </si>
  <si>
    <t>stop_sweep</t>
  </si>
  <si>
    <t>-5,-7.5,-10,-15,-20</t>
  </si>
  <si>
    <t>Comma-separated stop_loss levels Step3a_stopout re-scores each D row at (period in {20,50} only), alongside its own board stop_loss. Blank = no sweep sheet.</t>
  </si>
  <si>
    <t>stop_annual_tolerance</t>
  </si>
  <si>
    <t>Step3a_stopout's risk-first pick: the tightest stop (best Worst/N_loss) whose chain_annual gives up no more than this many percent of the unstopped baseline is flagged best.</t>
  </si>
  <si>
    <t>column</t>
  </si>
  <si>
    <t>step</t>
  </si>
  <si>
    <t>type</t>
  </si>
  <si>
    <t>default</t>
  </si>
  <si>
    <t>choices</t>
  </si>
  <si>
    <t>meta</t>
  </si>
  <si>
    <t>bool</t>
  </si>
  <si>
    <t>False</t>
  </si>
  <si>
    <t>x / blank — include this row in a development tick (steps 0-4, compare_strategies_&lt;date&gt;.xlsx). Independent of P.</t>
  </si>
  <si>
    <t>x / blank — include this row in a --production run (StrategicStocks, Drive-published). Independent of D — mark both to run in both modes.</t>
  </si>
  <si>
    <t>str</t>
  </si>
  <si>
    <t>Sheet/column header on the output board. Blank = auto-derived.</t>
  </si>
  <si>
    <t>Free text, carried through to the output board unchanged.</t>
  </si>
  <si>
    <t>expr</t>
  </si>
  <si>
    <t>e.g. Stamdata.Zone='NY' .and. Stamdata.GICS, or #ALL. A bare Stamdata column is a grouping dimension; a comparison is a universe filter; .and. joins terms.</t>
  </si>
  <si>
    <t>choice</t>
  </si>
  <si>
    <t>A, B, C</t>
  </si>
  <si>
    <t>A = today's dominance, B = 20d-persistent, C = 50d-persistent.</t>
  </si>
  <si>
    <t>int</t>
  </si>
  <si>
    <t>Trailing daynums for B/C persistence. Default: 20 for B, 50 for C. Ignored for level A.</t>
  </si>
  <si>
    <t>float</t>
  </si>
  <si>
    <t>0.6666666666666666</t>
  </si>
  <si>
    <t>Fraction of the trailing window that must have dominated (B/C only).</t>
  </si>
  <si>
    <t>Longi factor short name (longi_&lt;name&gt;.csv) deciding group elevation.</t>
  </si>
  <si>
    <t>direction</t>
  </si>
  <si>
    <t>True</t>
  </si>
  <si>
    <t>small_wins or big_wins for dominance_attribute.</t>
  </si>
  <si>
    <t>0.1</t>
  </si>
  <si>
    <t>Fraction of that day's own cross-sectional distribution a ticker must be within to qualify (0.10 = best decile).</t>
  </si>
  <si>
    <t>3</t>
  </si>
  <si>
    <t>Qualifying tickers a group needs to dominate, for a group at/above 2x this many members. Below that size the requirement is HALVED relative to the group's own size (group_size/2, not rounded), not raised -- a small group needs proportionally FEWER qualifiers, not more. See step1_dominance.dom_count_threshold.</t>
  </si>
  <si>
    <t>Top candidates drawn from EACH dominating group into the pooled test-set (per level: A=3, B=4, C=5 is SM's proposal).</t>
  </si>
  <si>
    <t>e.g. Longi.per1d&gt;0. Applied after Step-1 pooling; blank = none.</t>
  </si>
  <si>
    <t>Longi factor short name ranking candidates within/across groups.</t>
  </si>
  <si>
    <t>small_wins or big_wins for priority_attribute.</t>
  </si>
  <si>
    <t>1</t>
  </si>
  <si>
    <t>Window of the ranked pool to draw the focusset from: 1=best n, -1=worst n, 'mid' or a float in (0,1)=pool-relative window, an integer k&gt;=2=fixed offset. See param_spec.parse_from_rank.</t>
  </si>
  <si>
    <t>5</t>
  </si>
  <si>
    <t>Tickers in the final pick (gross-list size 10-20 typical in production).</t>
  </si>
  <si>
    <t>0.0</t>
  </si>
  <si>
    <t>Step 3a exit level, e.g. -10. A ticker whose longi_future_minaggr&lt;period&gt;d (worst drawdown from entry) breaches this has its lot gain capped here for the rest of the hold. 0/blank = off (today's behaviour). Requires period in {20, 50} -- the only horizons minaggr covers.</t>
  </si>
  <si>
    <t>20</t>
  </si>
  <si>
    <t>1, 5, 10, 20, 50, 100, 200</t>
  </si>
  <si>
    <t>Forward horizon in trading days; must be a member of the seven-pack (1/5/10/20/50/100/200).</t>
  </si>
  <si>
    <t>0</t>
  </si>
  <si>
    <t>Suppress picks / chain hops when GSPC RSI (at daynum) &lt; this. 0 = off.</t>
  </si>
  <si>
    <t>list_str</t>
  </si>
  <si>
    <t>()</t>
  </si>
  <si>
    <t>Comma-separated Longi factor names shown for insight only; never affects selection.</t>
  </si>
  <si>
    <t>Candidate pool (by label, comma-separated) for selection-skill scoring. Blank = every other active row.</t>
  </si>
  <si>
    <t>beta6m</t>
  </si>
  <si>
    <t>3m-3m stadig bedst</t>
  </si>
  <si>
    <t>beta1m</t>
  </si>
  <si>
    <t>beta2m</t>
  </si>
  <si>
    <t>Dur ikke</t>
  </si>
  <si>
    <t>Stamdata.GICS .and. Stamdata.Zone="LON"</t>
  </si>
  <si>
    <t>Longi.rank&lt;1000</t>
  </si>
  <si>
    <t>Næstbedst LON</t>
  </si>
  <si>
    <t>Godt gain, dårlig extension</t>
  </si>
  <si>
    <t>rank, per1d, regr20d, regr50d</t>
  </si>
  <si>
    <t>Longi.per1d&gt;0</t>
  </si>
  <si>
    <t>Longi.regr20d&gt;0</t>
  </si>
  <si>
    <t>Longi.regr50d&gt;0</t>
  </si>
  <si>
    <t>Longi.median_10d&lt;1100</t>
  </si>
  <si>
    <t>Longi.median_10d&lt;1000</t>
  </si>
  <si>
    <t>extension dør</t>
  </si>
  <si>
    <t>rank, regr20d, regr50d, regr100d, regr200d</t>
  </si>
  <si>
    <t>Longi.beta3m&gt;2.5</t>
  </si>
  <si>
    <t>næstbedst LON, men kun halvt så god som beta-baseret</t>
  </si>
  <si>
    <t>Ingen forbedring ved ændret sample</t>
  </si>
  <si>
    <t>tickers_per_group her ingen betydning</t>
  </si>
  <si>
    <t>rank, per1d</t>
  </si>
  <si>
    <t>Longi.rank&lt;1000 .and. Longi.beta3m&gt;2.5</t>
  </si>
  <si>
    <t>ingen forbedring</t>
  </si>
  <si>
    <t>#</t>
  </si>
  <si>
    <t>Aim</t>
  </si>
  <si>
    <t>Shorter beta?</t>
  </si>
  <si>
    <t>mid</t>
  </si>
  <si>
    <t>not good</t>
  </si>
  <si>
    <t>Næsten som 02</t>
  </si>
  <si>
    <t>Stamdata.Sector2</t>
  </si>
  <si>
    <t>Rimelig</t>
  </si>
  <si>
    <t>Mindre god</t>
  </si>
  <si>
    <t>Mindre god, men mild i extention</t>
  </si>
  <si>
    <t>God (basis)</t>
  </si>
  <si>
    <t>rank, per1d,per5d,per10d</t>
  </si>
  <si>
    <t>Rimelig (kun GICS=Tech blev valgt)</t>
  </si>
  <si>
    <t>Longi.beta3m&gt;2</t>
  </si>
  <si>
    <t>Kun 3 pr grp for bredere udvalg</t>
  </si>
  <si>
    <t>Bytte priority-metode</t>
  </si>
  <si>
    <t>giver kun tab.  Beta er bedst til prioritering</t>
  </si>
  <si>
    <t>Mindre god, men bedst Sector2</t>
  </si>
  <si>
    <t>Old basis</t>
  </si>
  <si>
    <t>Bedst (men 4 i udvalg giver for mange)</t>
  </si>
  <si>
    <t>Ny basic</t>
  </si>
  <si>
    <t>Sector2</t>
  </si>
  <si>
    <t>xxxx</t>
  </si>
  <si>
    <t>Longi.sh3m&gt;0</t>
  </si>
  <si>
    <t>Longi.sh3m&gt;2</t>
  </si>
  <si>
    <t>do.</t>
  </si>
  <si>
    <t>4 per gruppe for få 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</si>
</sst>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FE59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D2E9"/>
      </patternFill>
    </fill>
    <fill>
      <patternFill patternType="solid">
        <fgColor rgb="FFBDD7E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9" borderId="3" applyNumberFormat="0" applyFont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3" xfId="1" applyFont="1" applyFill="1"/>
    <xf numFmtId="0" fontId="0" fillId="0" borderId="2" xfId="0" applyBorder="1"/>
    <xf numFmtId="0" fontId="0" fillId="10" borderId="0" xfId="0" applyFill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"/>
  <sheetViews>
    <sheetView tabSelected="1" workbookViewId="0">
      <pane xSplit="5" ySplit="1" topLeftCell="I2" activePane="bottomRight" state="frozen"/>
      <selection pane="topRight" activeCell="F1" sqref="F1"/>
      <selection pane="bottomLeft" activeCell="A2" sqref="A2"/>
      <selection pane="bottomRight" activeCell="U3" sqref="U3"/>
    </sheetView>
  </sheetViews>
  <sheetFormatPr defaultRowHeight="15" x14ac:dyDescent="0.25"/>
  <cols>
    <col min="1" max="1" width="5" customWidth="1"/>
    <col min="2" max="3" width="4.42578125" customWidth="1"/>
    <col min="4" max="4" width="15.42578125" customWidth="1"/>
    <col min="5" max="5" width="43.140625" customWidth="1"/>
    <col min="6" max="6" width="30.42578125" customWidth="1"/>
    <col min="7" max="15" width="18" customWidth="1"/>
    <col min="16" max="16" width="27.85546875" customWidth="1"/>
    <col min="17" max="25" width="18" customWidth="1"/>
  </cols>
  <sheetData>
    <row r="1" spans="1:25" x14ac:dyDescent="0.25">
      <c r="A1" s="1" t="s">
        <v>0</v>
      </c>
      <c r="B1" s="1" t="s">
        <v>1</v>
      </c>
      <c r="C1" s="1" t="s">
        <v>150</v>
      </c>
      <c r="D1" s="1" t="s">
        <v>151</v>
      </c>
      <c r="E1" s="1" t="s">
        <v>2</v>
      </c>
      <c r="F1" s="1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5" t="s">
        <v>19</v>
      </c>
      <c r="W1" s="5" t="s">
        <v>20</v>
      </c>
      <c r="X1" s="5" t="s">
        <v>21</v>
      </c>
      <c r="Y1" s="6" t="s">
        <v>22</v>
      </c>
    </row>
    <row r="2" spans="1:25" x14ac:dyDescent="0.25">
      <c r="A2" t="s">
        <v>23</v>
      </c>
      <c r="C2">
        <v>1</v>
      </c>
      <c r="D2" t="s">
        <v>168</v>
      </c>
      <c r="E2" t="str">
        <f>TEXT(C2,"00") &amp; " GICS-"&amp;K2&amp;" ("&amp;Q2&amp;IF(P2&lt;&gt;"","+ ","")&amp;P2&amp;")"</f>
        <v>01 GICS-beta3m (beta3m+ Longi.beta3m&gt;2.5)</v>
      </c>
      <c r="F2" t="s">
        <v>160</v>
      </c>
      <c r="G2" t="s">
        <v>25</v>
      </c>
      <c r="H2" t="s">
        <v>26</v>
      </c>
      <c r="K2" t="s">
        <v>27</v>
      </c>
      <c r="L2" t="s">
        <v>28</v>
      </c>
      <c r="M2">
        <v>0.1</v>
      </c>
      <c r="N2">
        <v>10</v>
      </c>
      <c r="O2">
        <v>4</v>
      </c>
      <c r="P2" t="s">
        <v>143</v>
      </c>
      <c r="Q2" t="s">
        <v>27</v>
      </c>
      <c r="R2" t="s">
        <v>28</v>
      </c>
      <c r="S2">
        <v>1</v>
      </c>
      <c r="T2">
        <v>3</v>
      </c>
      <c r="U2">
        <v>-20</v>
      </c>
      <c r="V2">
        <v>20</v>
      </c>
      <c r="W2">
        <v>0</v>
      </c>
      <c r="X2" t="s">
        <v>161</v>
      </c>
    </row>
    <row r="3" spans="1:25" x14ac:dyDescent="0.25">
      <c r="C3">
        <f>C2+1</f>
        <v>2</v>
      </c>
      <c r="E3" t="str">
        <f t="shared" ref="E3" si="0">TEXT(C3,"00") &amp; " GICS-"&amp;K3&amp;" ("&amp;Q3&amp;IF(P3&lt;&gt;"","+ ","")&amp;P3&amp;")"</f>
        <v>02 GICS-beta3m (beta3m)</v>
      </c>
      <c r="F3" t="s">
        <v>157</v>
      </c>
      <c r="G3" t="s">
        <v>25</v>
      </c>
      <c r="H3" t="s">
        <v>26</v>
      </c>
      <c r="K3" t="s">
        <v>27</v>
      </c>
      <c r="L3" t="s">
        <v>28</v>
      </c>
      <c r="M3">
        <v>0.1</v>
      </c>
      <c r="N3">
        <v>10</v>
      </c>
      <c r="O3">
        <v>4</v>
      </c>
      <c r="Q3" t="s">
        <v>27</v>
      </c>
      <c r="R3" t="s">
        <v>28</v>
      </c>
      <c r="S3">
        <v>1</v>
      </c>
      <c r="T3">
        <v>5</v>
      </c>
      <c r="U3">
        <v>0</v>
      </c>
      <c r="V3">
        <v>20</v>
      </c>
      <c r="W3">
        <v>0</v>
      </c>
      <c r="X3" t="s">
        <v>147</v>
      </c>
    </row>
    <row r="4" spans="1:25" x14ac:dyDescent="0.25">
      <c r="C4">
        <f t="shared" ref="C4:C5" si="1">C3+1</f>
        <v>3</v>
      </c>
      <c r="E4" t="str">
        <f t="shared" ref="E4:E9" si="2">TEXT(C4,"00") &amp; " GICS-"&amp;K4&amp;" ("&amp;Q4&amp;IF(P4&lt;&gt;"","+ ","")&amp;P4&amp;")"</f>
        <v>03 GICS-rank (beta3m+ Longi.beta3m&gt;2.5)</v>
      </c>
      <c r="F4" t="s">
        <v>30</v>
      </c>
      <c r="G4" t="s">
        <v>25</v>
      </c>
      <c r="H4" t="s">
        <v>26</v>
      </c>
      <c r="K4" t="s">
        <v>32</v>
      </c>
      <c r="L4" t="s">
        <v>33</v>
      </c>
      <c r="M4">
        <v>0.1</v>
      </c>
      <c r="N4">
        <v>10</v>
      </c>
      <c r="O4">
        <v>4</v>
      </c>
      <c r="P4" t="s">
        <v>143</v>
      </c>
      <c r="Q4" t="s">
        <v>27</v>
      </c>
      <c r="R4" t="s">
        <v>28</v>
      </c>
      <c r="S4">
        <v>1</v>
      </c>
      <c r="T4">
        <v>3</v>
      </c>
      <c r="U4">
        <v>0</v>
      </c>
      <c r="V4">
        <v>20</v>
      </c>
      <c r="W4">
        <v>0</v>
      </c>
      <c r="X4" t="s">
        <v>142</v>
      </c>
    </row>
    <row r="5" spans="1:25" x14ac:dyDescent="0.25">
      <c r="C5">
        <f t="shared" si="1"/>
        <v>4</v>
      </c>
      <c r="E5" t="str">
        <f t="shared" si="2"/>
        <v>04 GICS-rank (beta3m+ Longi.beta3m&gt;2.5)</v>
      </c>
      <c r="F5" t="s">
        <v>30</v>
      </c>
      <c r="G5" t="s">
        <v>25</v>
      </c>
      <c r="H5" t="s">
        <v>26</v>
      </c>
      <c r="K5" t="s">
        <v>32</v>
      </c>
      <c r="L5" t="s">
        <v>33</v>
      </c>
      <c r="M5">
        <v>0.1</v>
      </c>
      <c r="N5">
        <v>10</v>
      </c>
      <c r="O5">
        <v>4</v>
      </c>
      <c r="P5" t="s">
        <v>143</v>
      </c>
      <c r="Q5" t="s">
        <v>27</v>
      </c>
      <c r="R5" t="s">
        <v>28</v>
      </c>
      <c r="S5">
        <v>1</v>
      </c>
      <c r="T5">
        <v>3</v>
      </c>
      <c r="U5">
        <v>0</v>
      </c>
      <c r="V5">
        <v>20</v>
      </c>
      <c r="W5">
        <v>0</v>
      </c>
      <c r="X5" s="10" t="s">
        <v>135</v>
      </c>
    </row>
    <row r="6" spans="1:25" x14ac:dyDescent="0.25">
      <c r="C6">
        <f t="shared" ref="C6:C69" si="3">C5+1</f>
        <v>5</v>
      </c>
      <c r="E6" t="str">
        <f t="shared" si="2"/>
        <v>05 GICS-PdivMA20 (beta3m)</v>
      </c>
      <c r="F6" t="s">
        <v>30</v>
      </c>
      <c r="G6" t="s">
        <v>25</v>
      </c>
      <c r="H6" t="s">
        <v>26</v>
      </c>
      <c r="K6" t="s">
        <v>31</v>
      </c>
      <c r="L6" t="s">
        <v>28</v>
      </c>
      <c r="M6">
        <v>0.1</v>
      </c>
      <c r="N6">
        <v>10</v>
      </c>
      <c r="O6">
        <v>4</v>
      </c>
      <c r="Q6" t="s">
        <v>27</v>
      </c>
      <c r="R6" t="s">
        <v>28</v>
      </c>
      <c r="S6">
        <v>1</v>
      </c>
      <c r="T6">
        <v>3</v>
      </c>
      <c r="U6">
        <v>0</v>
      </c>
      <c r="V6">
        <v>20</v>
      </c>
      <c r="W6">
        <v>0</v>
      </c>
      <c r="X6" t="s">
        <v>29</v>
      </c>
    </row>
    <row r="7" spans="1:25" x14ac:dyDescent="0.25">
      <c r="A7" t="s">
        <v>23</v>
      </c>
      <c r="C7">
        <f t="shared" si="3"/>
        <v>6</v>
      </c>
      <c r="E7" t="str">
        <f t="shared" si="2"/>
        <v>06 GICS-sh3m (beta3m)</v>
      </c>
      <c r="F7" t="s">
        <v>169</v>
      </c>
      <c r="G7" t="s">
        <v>25</v>
      </c>
      <c r="H7" t="s">
        <v>26</v>
      </c>
      <c r="K7" t="s">
        <v>34</v>
      </c>
      <c r="L7" t="s">
        <v>28</v>
      </c>
      <c r="M7">
        <v>0.1</v>
      </c>
      <c r="N7">
        <v>10</v>
      </c>
      <c r="O7">
        <v>4</v>
      </c>
      <c r="Q7" t="s">
        <v>27</v>
      </c>
      <c r="R7" t="s">
        <v>28</v>
      </c>
      <c r="S7">
        <v>1</v>
      </c>
      <c r="T7">
        <v>3</v>
      </c>
      <c r="U7">
        <v>-20</v>
      </c>
      <c r="V7">
        <v>20</v>
      </c>
      <c r="W7">
        <v>0</v>
      </c>
      <c r="X7" t="s">
        <v>161</v>
      </c>
    </row>
    <row r="8" spans="1:25" x14ac:dyDescent="0.25">
      <c r="C8">
        <f t="shared" si="3"/>
        <v>7</v>
      </c>
      <c r="E8" t="str">
        <f t="shared" si="2"/>
        <v>07 GICS-quot1020 (beta3m)</v>
      </c>
      <c r="F8" t="s">
        <v>30</v>
      </c>
      <c r="G8" t="s">
        <v>25</v>
      </c>
      <c r="H8" t="s">
        <v>26</v>
      </c>
      <c r="K8" t="s">
        <v>43</v>
      </c>
      <c r="L8" t="s">
        <v>28</v>
      </c>
      <c r="M8">
        <v>0.1</v>
      </c>
      <c r="N8">
        <v>10</v>
      </c>
      <c r="O8">
        <v>4</v>
      </c>
      <c r="Q8" t="s">
        <v>27</v>
      </c>
      <c r="R8" t="s">
        <v>28</v>
      </c>
      <c r="S8">
        <v>1</v>
      </c>
      <c r="T8">
        <v>3</v>
      </c>
      <c r="U8">
        <v>0</v>
      </c>
      <c r="V8">
        <v>20</v>
      </c>
      <c r="W8">
        <v>0</v>
      </c>
      <c r="X8" t="s">
        <v>29</v>
      </c>
    </row>
    <row r="9" spans="1:25" x14ac:dyDescent="0.25">
      <c r="C9">
        <f t="shared" si="3"/>
        <v>8</v>
      </c>
      <c r="E9" t="str">
        <f t="shared" si="2"/>
        <v>08 GICS-quot2050 (beta3m)</v>
      </c>
      <c r="F9" t="s">
        <v>24</v>
      </c>
      <c r="G9" t="s">
        <v>25</v>
      </c>
      <c r="H9" t="s">
        <v>26</v>
      </c>
      <c r="K9" t="s">
        <v>45</v>
      </c>
      <c r="L9" t="s">
        <v>28</v>
      </c>
      <c r="M9">
        <v>0.1</v>
      </c>
      <c r="N9">
        <v>10</v>
      </c>
      <c r="O9">
        <v>4</v>
      </c>
      <c r="Q9" t="s">
        <v>27</v>
      </c>
      <c r="R9" t="s">
        <v>28</v>
      </c>
      <c r="S9">
        <v>1</v>
      </c>
      <c r="T9">
        <v>3</v>
      </c>
      <c r="U9">
        <v>0</v>
      </c>
      <c r="V9">
        <v>20</v>
      </c>
      <c r="W9">
        <v>0</v>
      </c>
      <c r="X9" t="s">
        <v>29</v>
      </c>
    </row>
    <row r="10" spans="1:25" x14ac:dyDescent="0.25">
      <c r="C10">
        <f t="shared" si="3"/>
        <v>9</v>
      </c>
      <c r="E10" t="s">
        <v>35</v>
      </c>
      <c r="G10" t="s">
        <v>36</v>
      </c>
      <c r="H10" t="s">
        <v>26</v>
      </c>
      <c r="K10" t="s">
        <v>27</v>
      </c>
      <c r="L10" t="s">
        <v>28</v>
      </c>
      <c r="M10">
        <v>0.1</v>
      </c>
      <c r="N10">
        <v>10</v>
      </c>
      <c r="O10">
        <v>4</v>
      </c>
      <c r="Q10" t="s">
        <v>27</v>
      </c>
      <c r="R10" t="s">
        <v>28</v>
      </c>
      <c r="S10">
        <v>1</v>
      </c>
      <c r="T10">
        <v>3</v>
      </c>
      <c r="U10">
        <v>0</v>
      </c>
      <c r="V10">
        <v>20</v>
      </c>
      <c r="W10">
        <v>0</v>
      </c>
      <c r="X10" t="s">
        <v>29</v>
      </c>
    </row>
    <row r="11" spans="1:25" x14ac:dyDescent="0.25">
      <c r="C11">
        <f t="shared" si="3"/>
        <v>10</v>
      </c>
      <c r="E11" t="s">
        <v>37</v>
      </c>
      <c r="G11" t="s">
        <v>36</v>
      </c>
      <c r="H11" t="s">
        <v>26</v>
      </c>
      <c r="K11" t="s">
        <v>38</v>
      </c>
      <c r="L11" t="s">
        <v>33</v>
      </c>
      <c r="M11">
        <v>0.1</v>
      </c>
      <c r="N11">
        <v>10</v>
      </c>
      <c r="O11">
        <v>4</v>
      </c>
      <c r="Q11" t="s">
        <v>27</v>
      </c>
      <c r="R11" t="s">
        <v>28</v>
      </c>
      <c r="S11">
        <v>1</v>
      </c>
      <c r="T11">
        <v>3</v>
      </c>
      <c r="U11">
        <v>0</v>
      </c>
      <c r="V11">
        <v>20</v>
      </c>
      <c r="W11">
        <v>0</v>
      </c>
      <c r="X11" t="s">
        <v>29</v>
      </c>
    </row>
    <row r="12" spans="1:25" x14ac:dyDescent="0.25">
      <c r="C12">
        <f t="shared" si="3"/>
        <v>11</v>
      </c>
      <c r="E12" t="s">
        <v>39</v>
      </c>
      <c r="G12" t="s">
        <v>36</v>
      </c>
      <c r="H12" t="s">
        <v>26</v>
      </c>
      <c r="K12" t="s">
        <v>31</v>
      </c>
      <c r="L12" t="s">
        <v>28</v>
      </c>
      <c r="M12">
        <v>0.1</v>
      </c>
      <c r="N12">
        <v>10</v>
      </c>
      <c r="O12">
        <v>4</v>
      </c>
      <c r="Q12" t="s">
        <v>27</v>
      </c>
      <c r="R12" t="s">
        <v>28</v>
      </c>
      <c r="S12">
        <v>1</v>
      </c>
      <c r="T12">
        <v>3</v>
      </c>
      <c r="U12">
        <v>0</v>
      </c>
      <c r="V12">
        <v>20</v>
      </c>
      <c r="W12">
        <v>0</v>
      </c>
      <c r="X12" t="s">
        <v>29</v>
      </c>
    </row>
    <row r="13" spans="1:25" x14ac:dyDescent="0.25">
      <c r="C13">
        <f t="shared" si="3"/>
        <v>12</v>
      </c>
      <c r="E13" t="s">
        <v>40</v>
      </c>
      <c r="G13" t="s">
        <v>36</v>
      </c>
      <c r="H13" t="s">
        <v>26</v>
      </c>
      <c r="K13" t="s">
        <v>41</v>
      </c>
      <c r="L13" t="s">
        <v>28</v>
      </c>
      <c r="M13">
        <v>0.1</v>
      </c>
      <c r="N13">
        <v>10</v>
      </c>
      <c r="O13">
        <v>4</v>
      </c>
      <c r="Q13" t="s">
        <v>27</v>
      </c>
      <c r="R13" t="s">
        <v>28</v>
      </c>
      <c r="S13">
        <v>1</v>
      </c>
      <c r="T13">
        <v>3</v>
      </c>
      <c r="U13">
        <v>0</v>
      </c>
      <c r="V13">
        <v>20</v>
      </c>
      <c r="W13">
        <v>0</v>
      </c>
      <c r="X13" t="s">
        <v>29</v>
      </c>
    </row>
    <row r="14" spans="1:25" x14ac:dyDescent="0.25">
      <c r="C14">
        <f t="shared" si="3"/>
        <v>13</v>
      </c>
      <c r="E14" t="s">
        <v>42</v>
      </c>
      <c r="G14" t="s">
        <v>36</v>
      </c>
      <c r="H14" t="s">
        <v>26</v>
      </c>
      <c r="K14" t="s">
        <v>43</v>
      </c>
      <c r="L14" t="s">
        <v>28</v>
      </c>
      <c r="M14">
        <v>0.1</v>
      </c>
      <c r="N14">
        <v>10</v>
      </c>
      <c r="O14">
        <v>4</v>
      </c>
      <c r="Q14" t="s">
        <v>27</v>
      </c>
      <c r="R14" t="s">
        <v>28</v>
      </c>
      <c r="S14">
        <v>1</v>
      </c>
      <c r="T14">
        <v>3</v>
      </c>
      <c r="U14">
        <v>0</v>
      </c>
      <c r="V14">
        <v>20</v>
      </c>
      <c r="W14">
        <v>0</v>
      </c>
      <c r="X14" t="s">
        <v>29</v>
      </c>
    </row>
    <row r="15" spans="1:25" x14ac:dyDescent="0.25">
      <c r="C15">
        <f t="shared" si="3"/>
        <v>14</v>
      </c>
      <c r="E15" t="s">
        <v>44</v>
      </c>
      <c r="G15" t="s">
        <v>36</v>
      </c>
      <c r="H15" t="s">
        <v>26</v>
      </c>
      <c r="K15" t="s">
        <v>45</v>
      </c>
      <c r="L15" t="s">
        <v>28</v>
      </c>
      <c r="M15">
        <v>0.1</v>
      </c>
      <c r="N15">
        <v>10</v>
      </c>
      <c r="O15">
        <v>4</v>
      </c>
      <c r="Q15" t="s">
        <v>27</v>
      </c>
      <c r="R15" t="s">
        <v>28</v>
      </c>
      <c r="S15">
        <v>1</v>
      </c>
      <c r="T15">
        <v>3</v>
      </c>
      <c r="U15">
        <v>0</v>
      </c>
      <c r="V15">
        <v>20</v>
      </c>
      <c r="W15">
        <v>0</v>
      </c>
      <c r="X15" t="s">
        <v>29</v>
      </c>
    </row>
    <row r="16" spans="1:25" x14ac:dyDescent="0.25">
      <c r="C16">
        <f t="shared" si="3"/>
        <v>15</v>
      </c>
      <c r="E16" t="s">
        <v>46</v>
      </c>
      <c r="G16" t="s">
        <v>36</v>
      </c>
      <c r="H16" t="s">
        <v>26</v>
      </c>
      <c r="K16" t="s">
        <v>32</v>
      </c>
      <c r="L16" t="s">
        <v>33</v>
      </c>
      <c r="M16">
        <v>0.1</v>
      </c>
      <c r="N16">
        <v>10</v>
      </c>
      <c r="O16">
        <v>4</v>
      </c>
      <c r="Q16" t="s">
        <v>27</v>
      </c>
      <c r="R16" t="s">
        <v>28</v>
      </c>
      <c r="S16">
        <v>1</v>
      </c>
      <c r="T16">
        <v>3</v>
      </c>
      <c r="U16">
        <v>0</v>
      </c>
      <c r="V16">
        <v>20</v>
      </c>
      <c r="W16">
        <v>0</v>
      </c>
      <c r="X16" t="s">
        <v>29</v>
      </c>
    </row>
    <row r="17" spans="3:24" x14ac:dyDescent="0.25">
      <c r="C17">
        <f t="shared" si="3"/>
        <v>16</v>
      </c>
      <c r="E17" t="s">
        <v>47</v>
      </c>
      <c r="G17" t="s">
        <v>36</v>
      </c>
      <c r="H17" t="s">
        <v>26</v>
      </c>
      <c r="K17" t="s">
        <v>48</v>
      </c>
      <c r="L17" t="s">
        <v>28</v>
      </c>
      <c r="M17">
        <v>0.1</v>
      </c>
      <c r="N17">
        <v>10</v>
      </c>
      <c r="O17">
        <v>4</v>
      </c>
      <c r="Q17" t="s">
        <v>27</v>
      </c>
      <c r="R17" t="s">
        <v>28</v>
      </c>
      <c r="S17">
        <v>1</v>
      </c>
      <c r="T17">
        <v>3</v>
      </c>
      <c r="U17">
        <v>0</v>
      </c>
      <c r="V17">
        <v>20</v>
      </c>
      <c r="W17">
        <v>0</v>
      </c>
      <c r="X17" t="s">
        <v>29</v>
      </c>
    </row>
    <row r="18" spans="3:24" x14ac:dyDescent="0.25">
      <c r="C18">
        <f t="shared" si="3"/>
        <v>17</v>
      </c>
      <c r="E18" t="s">
        <v>49</v>
      </c>
      <c r="G18" t="s">
        <v>36</v>
      </c>
      <c r="H18" t="s">
        <v>26</v>
      </c>
      <c r="K18" t="s">
        <v>34</v>
      </c>
      <c r="L18" t="s">
        <v>28</v>
      </c>
      <c r="M18">
        <v>0.1</v>
      </c>
      <c r="N18">
        <v>10</v>
      </c>
      <c r="O18">
        <v>4</v>
      </c>
      <c r="Q18" t="s">
        <v>27</v>
      </c>
      <c r="R18" t="s">
        <v>28</v>
      </c>
      <c r="S18">
        <v>1</v>
      </c>
      <c r="T18">
        <v>3</v>
      </c>
      <c r="U18">
        <v>0</v>
      </c>
      <c r="V18">
        <v>20</v>
      </c>
      <c r="W18">
        <v>0</v>
      </c>
      <c r="X18" t="s">
        <v>29</v>
      </c>
    </row>
    <row r="19" spans="3:24" x14ac:dyDescent="0.25">
      <c r="C19">
        <f t="shared" si="3"/>
        <v>18</v>
      </c>
      <c r="E19" t="s">
        <v>50</v>
      </c>
      <c r="G19" t="s">
        <v>36</v>
      </c>
      <c r="H19" t="s">
        <v>26</v>
      </c>
      <c r="K19" t="s">
        <v>51</v>
      </c>
      <c r="L19" t="s">
        <v>33</v>
      </c>
      <c r="M19">
        <v>0.1</v>
      </c>
      <c r="N19">
        <v>10</v>
      </c>
      <c r="O19">
        <v>4</v>
      </c>
      <c r="Q19" t="s">
        <v>27</v>
      </c>
      <c r="R19" t="s">
        <v>28</v>
      </c>
      <c r="S19">
        <v>1</v>
      </c>
      <c r="T19">
        <v>3</v>
      </c>
      <c r="U19">
        <v>0</v>
      </c>
      <c r="V19">
        <v>20</v>
      </c>
      <c r="W19">
        <v>0</v>
      </c>
      <c r="X19" t="s">
        <v>29</v>
      </c>
    </row>
    <row r="20" spans="3:24" x14ac:dyDescent="0.25">
      <c r="C20">
        <f t="shared" si="3"/>
        <v>19</v>
      </c>
      <c r="E20" t="s">
        <v>52</v>
      </c>
      <c r="G20" t="s">
        <v>36</v>
      </c>
      <c r="H20" t="s">
        <v>26</v>
      </c>
      <c r="K20" t="s">
        <v>53</v>
      </c>
      <c r="L20" t="s">
        <v>28</v>
      </c>
      <c r="M20">
        <v>0.1</v>
      </c>
      <c r="N20">
        <v>10</v>
      </c>
      <c r="O20">
        <v>4</v>
      </c>
      <c r="Q20" t="s">
        <v>27</v>
      </c>
      <c r="R20" t="s">
        <v>28</v>
      </c>
      <c r="S20">
        <v>1</v>
      </c>
      <c r="T20">
        <v>3</v>
      </c>
      <c r="U20">
        <v>0</v>
      </c>
      <c r="V20">
        <v>20</v>
      </c>
      <c r="W20">
        <v>0</v>
      </c>
      <c r="X20" t="s">
        <v>29</v>
      </c>
    </row>
    <row r="21" spans="3:24" x14ac:dyDescent="0.25">
      <c r="C21">
        <f t="shared" si="3"/>
        <v>20</v>
      </c>
      <c r="E21" t="str">
        <f t="shared" ref="E21:E22" si="4">TEXT(C21,"00") &amp; " GICS-"&amp;K21&amp;" ("&amp;Q21&amp;IF(P21&lt;&gt;"","+ ","")&amp;P21&amp;")"</f>
        <v>20 GICS-rsi (beta3m)</v>
      </c>
      <c r="G21" t="s">
        <v>25</v>
      </c>
      <c r="H21" t="s">
        <v>26</v>
      </c>
      <c r="K21" t="s">
        <v>48</v>
      </c>
      <c r="L21" t="s">
        <v>28</v>
      </c>
      <c r="M21">
        <v>0.1</v>
      </c>
      <c r="N21">
        <v>10</v>
      </c>
      <c r="O21">
        <v>4</v>
      </c>
      <c r="Q21" t="s">
        <v>27</v>
      </c>
      <c r="R21" t="s">
        <v>28</v>
      </c>
      <c r="S21">
        <v>1</v>
      </c>
      <c r="T21">
        <v>3</v>
      </c>
      <c r="U21">
        <v>0</v>
      </c>
      <c r="V21">
        <v>20</v>
      </c>
      <c r="W21">
        <v>0</v>
      </c>
      <c r="X21" t="s">
        <v>29</v>
      </c>
    </row>
    <row r="22" spans="3:24" x14ac:dyDescent="0.25">
      <c r="C22">
        <f t="shared" si="3"/>
        <v>21</v>
      </c>
      <c r="E22" t="str">
        <f t="shared" si="4"/>
        <v>21 GICS-spr100d (beta3m)</v>
      </c>
      <c r="G22" t="s">
        <v>25</v>
      </c>
      <c r="H22" t="s">
        <v>26</v>
      </c>
      <c r="K22" t="s">
        <v>51</v>
      </c>
      <c r="L22" t="s">
        <v>33</v>
      </c>
      <c r="M22">
        <v>0.1</v>
      </c>
      <c r="N22">
        <v>10</v>
      </c>
      <c r="O22">
        <v>4</v>
      </c>
      <c r="Q22" t="s">
        <v>27</v>
      </c>
      <c r="R22" t="s">
        <v>28</v>
      </c>
      <c r="S22">
        <v>1</v>
      </c>
      <c r="T22">
        <v>3</v>
      </c>
      <c r="U22">
        <v>0</v>
      </c>
      <c r="V22">
        <v>20</v>
      </c>
      <c r="W22">
        <v>0</v>
      </c>
      <c r="X22" t="s">
        <v>29</v>
      </c>
    </row>
    <row r="23" spans="3:24" x14ac:dyDescent="0.25">
      <c r="C23">
        <f t="shared" si="3"/>
        <v>22</v>
      </c>
      <c r="E23" t="s">
        <v>54</v>
      </c>
      <c r="G23" t="s">
        <v>55</v>
      </c>
      <c r="H23" t="s">
        <v>26</v>
      </c>
      <c r="K23" t="s">
        <v>45</v>
      </c>
      <c r="L23" t="s">
        <v>28</v>
      </c>
      <c r="M23">
        <v>0.1</v>
      </c>
      <c r="N23">
        <v>10</v>
      </c>
      <c r="O23">
        <v>4</v>
      </c>
      <c r="Q23" t="s">
        <v>27</v>
      </c>
      <c r="R23" t="s">
        <v>28</v>
      </c>
      <c r="S23">
        <v>1</v>
      </c>
      <c r="T23">
        <v>3</v>
      </c>
      <c r="U23">
        <v>0</v>
      </c>
      <c r="V23">
        <v>20</v>
      </c>
      <c r="W23">
        <v>0</v>
      </c>
      <c r="X23" t="s">
        <v>29</v>
      </c>
    </row>
    <row r="24" spans="3:24" x14ac:dyDescent="0.25">
      <c r="C24">
        <f t="shared" si="3"/>
        <v>23</v>
      </c>
      <c r="E24" t="s">
        <v>56</v>
      </c>
      <c r="G24" t="s">
        <v>55</v>
      </c>
      <c r="H24" t="s">
        <v>26</v>
      </c>
      <c r="K24" t="s">
        <v>34</v>
      </c>
      <c r="L24" t="s">
        <v>28</v>
      </c>
      <c r="M24">
        <v>0.1</v>
      </c>
      <c r="N24">
        <v>10</v>
      </c>
      <c r="O24">
        <v>4</v>
      </c>
      <c r="Q24" t="s">
        <v>27</v>
      </c>
      <c r="R24" t="s">
        <v>28</v>
      </c>
      <c r="S24">
        <v>1</v>
      </c>
      <c r="T24">
        <v>3</v>
      </c>
      <c r="U24">
        <v>0</v>
      </c>
      <c r="V24">
        <v>20</v>
      </c>
      <c r="W24">
        <v>0</v>
      </c>
      <c r="X24" t="s">
        <v>29</v>
      </c>
    </row>
    <row r="25" spans="3:24" x14ac:dyDescent="0.25">
      <c r="C25">
        <f t="shared" si="3"/>
        <v>24</v>
      </c>
      <c r="E25" t="s">
        <v>57</v>
      </c>
      <c r="G25" t="s">
        <v>55</v>
      </c>
      <c r="H25" t="s">
        <v>26</v>
      </c>
      <c r="K25" t="s">
        <v>51</v>
      </c>
      <c r="L25" t="s">
        <v>33</v>
      </c>
      <c r="M25">
        <v>0.1</v>
      </c>
      <c r="N25">
        <v>10</v>
      </c>
      <c r="O25">
        <v>4</v>
      </c>
      <c r="Q25" t="s">
        <v>27</v>
      </c>
      <c r="R25" t="s">
        <v>28</v>
      </c>
      <c r="S25">
        <v>1</v>
      </c>
      <c r="T25">
        <v>3</v>
      </c>
      <c r="U25">
        <v>0</v>
      </c>
      <c r="V25">
        <v>20</v>
      </c>
      <c r="W25">
        <v>0</v>
      </c>
      <c r="X25" t="s">
        <v>29</v>
      </c>
    </row>
    <row r="26" spans="3:24" x14ac:dyDescent="0.25">
      <c r="C26">
        <f t="shared" si="3"/>
        <v>25</v>
      </c>
      <c r="E26" t="str">
        <f t="shared" ref="E26:E71" si="5">TEXT(C26,"00") &amp; " GICS-"&amp;K26&amp;" ("&amp;Q26&amp;IF(P26&lt;&gt;"","+ ","")&amp;P26&amp;")"</f>
        <v>25 GICS-beta6m (beta6m)</v>
      </c>
      <c r="F26" t="s">
        <v>127</v>
      </c>
      <c r="G26" t="s">
        <v>25</v>
      </c>
      <c r="H26" t="s">
        <v>26</v>
      </c>
      <c r="K26" t="s">
        <v>126</v>
      </c>
      <c r="L26" t="s">
        <v>28</v>
      </c>
      <c r="M26">
        <v>0.1</v>
      </c>
      <c r="N26">
        <v>10</v>
      </c>
      <c r="O26">
        <v>4</v>
      </c>
      <c r="Q26" t="s">
        <v>126</v>
      </c>
      <c r="R26" t="s">
        <v>28</v>
      </c>
      <c r="S26">
        <v>1</v>
      </c>
      <c r="T26">
        <v>3</v>
      </c>
      <c r="U26">
        <v>0</v>
      </c>
      <c r="V26">
        <v>20</v>
      </c>
      <c r="W26">
        <v>0</v>
      </c>
      <c r="X26" t="s">
        <v>29</v>
      </c>
    </row>
    <row r="27" spans="3:24" x14ac:dyDescent="0.25">
      <c r="C27">
        <f t="shared" si="3"/>
        <v>26</v>
      </c>
      <c r="E27" t="str">
        <f t="shared" si="5"/>
        <v>26 GICS-beta3m (beta6m)</v>
      </c>
      <c r="F27" t="s">
        <v>127</v>
      </c>
      <c r="G27" t="s">
        <v>25</v>
      </c>
      <c r="H27" t="s">
        <v>26</v>
      </c>
      <c r="K27" t="s">
        <v>27</v>
      </c>
      <c r="L27" t="s">
        <v>28</v>
      </c>
      <c r="M27">
        <v>0.1</v>
      </c>
      <c r="N27">
        <v>10</v>
      </c>
      <c r="O27">
        <v>4</v>
      </c>
      <c r="Q27" t="s">
        <v>126</v>
      </c>
      <c r="R27" t="s">
        <v>28</v>
      </c>
      <c r="S27">
        <v>1</v>
      </c>
      <c r="T27">
        <v>3</v>
      </c>
      <c r="U27">
        <v>0</v>
      </c>
      <c r="V27">
        <v>20</v>
      </c>
      <c r="W27">
        <v>0</v>
      </c>
      <c r="X27" t="s">
        <v>29</v>
      </c>
    </row>
    <row r="28" spans="3:24" x14ac:dyDescent="0.25">
      <c r="C28">
        <f t="shared" si="3"/>
        <v>27</v>
      </c>
      <c r="E28" t="str">
        <f t="shared" si="5"/>
        <v>27 GICS-beta6m (beta3m)</v>
      </c>
      <c r="F28" t="s">
        <v>127</v>
      </c>
      <c r="G28" t="s">
        <v>25</v>
      </c>
      <c r="H28" t="s">
        <v>26</v>
      </c>
      <c r="K28" t="s">
        <v>126</v>
      </c>
      <c r="L28" t="s">
        <v>28</v>
      </c>
      <c r="M28">
        <v>0.1</v>
      </c>
      <c r="N28">
        <v>10</v>
      </c>
      <c r="O28">
        <v>4</v>
      </c>
      <c r="Q28" t="s">
        <v>27</v>
      </c>
      <c r="R28" t="s">
        <v>28</v>
      </c>
      <c r="S28">
        <v>1</v>
      </c>
      <c r="T28">
        <v>3</v>
      </c>
      <c r="U28">
        <v>0</v>
      </c>
      <c r="V28">
        <v>20</v>
      </c>
      <c r="W28">
        <v>0</v>
      </c>
      <c r="X28" t="s">
        <v>29</v>
      </c>
    </row>
    <row r="29" spans="3:24" x14ac:dyDescent="0.25">
      <c r="C29">
        <f t="shared" si="3"/>
        <v>28</v>
      </c>
      <c r="E29" t="str">
        <f t="shared" si="5"/>
        <v>28 GICS-beta1m (beta1m)</v>
      </c>
      <c r="F29" t="s">
        <v>130</v>
      </c>
      <c r="G29" t="s">
        <v>25</v>
      </c>
      <c r="H29" t="s">
        <v>26</v>
      </c>
      <c r="K29" t="s">
        <v>128</v>
      </c>
      <c r="L29" t="s">
        <v>28</v>
      </c>
      <c r="M29">
        <v>0.1</v>
      </c>
      <c r="N29">
        <v>10</v>
      </c>
      <c r="O29">
        <v>4</v>
      </c>
      <c r="Q29" t="s">
        <v>128</v>
      </c>
      <c r="R29" t="s">
        <v>28</v>
      </c>
      <c r="S29">
        <v>1</v>
      </c>
      <c r="T29">
        <v>3</v>
      </c>
      <c r="U29">
        <v>0</v>
      </c>
      <c r="V29">
        <v>20</v>
      </c>
      <c r="W29">
        <v>0</v>
      </c>
      <c r="X29" t="s">
        <v>29</v>
      </c>
    </row>
    <row r="30" spans="3:24" x14ac:dyDescent="0.25">
      <c r="C30">
        <f t="shared" si="3"/>
        <v>29</v>
      </c>
      <c r="E30" t="str">
        <f t="shared" si="5"/>
        <v>29 GICS-beta2m (beta2m)</v>
      </c>
      <c r="F30" t="s">
        <v>130</v>
      </c>
      <c r="G30" t="s">
        <v>25</v>
      </c>
      <c r="H30" t="s">
        <v>26</v>
      </c>
      <c r="K30" t="s">
        <v>129</v>
      </c>
      <c r="L30" t="s">
        <v>28</v>
      </c>
      <c r="M30">
        <v>0.1</v>
      </c>
      <c r="N30">
        <v>10</v>
      </c>
      <c r="O30">
        <v>4</v>
      </c>
      <c r="Q30" t="s">
        <v>129</v>
      </c>
      <c r="R30" t="s">
        <v>28</v>
      </c>
      <c r="S30">
        <v>1</v>
      </c>
      <c r="T30">
        <v>3</v>
      </c>
      <c r="U30">
        <v>0</v>
      </c>
      <c r="V30">
        <v>20</v>
      </c>
      <c r="W30">
        <v>0</v>
      </c>
      <c r="X30" t="s">
        <v>29</v>
      </c>
    </row>
    <row r="31" spans="3:24" x14ac:dyDescent="0.25">
      <c r="C31">
        <f t="shared" si="3"/>
        <v>30</v>
      </c>
      <c r="E31" t="str">
        <f t="shared" si="5"/>
        <v>30 GICS-beta3m (beta3m+ Longi.rank&lt;1000)</v>
      </c>
      <c r="G31" t="s">
        <v>131</v>
      </c>
      <c r="H31" t="s">
        <v>26</v>
      </c>
      <c r="K31" t="s">
        <v>27</v>
      </c>
      <c r="L31" t="s">
        <v>28</v>
      </c>
      <c r="M31">
        <v>0.1</v>
      </c>
      <c r="N31">
        <v>5</v>
      </c>
      <c r="O31">
        <v>4</v>
      </c>
      <c r="P31" t="s">
        <v>132</v>
      </c>
      <c r="Q31" t="s">
        <v>27</v>
      </c>
      <c r="R31" t="s">
        <v>28</v>
      </c>
      <c r="S31">
        <v>1</v>
      </c>
      <c r="T31">
        <v>3</v>
      </c>
      <c r="U31">
        <v>0</v>
      </c>
      <c r="V31">
        <v>20</v>
      </c>
      <c r="W31">
        <v>0</v>
      </c>
      <c r="X31" t="s">
        <v>29</v>
      </c>
    </row>
    <row r="32" spans="3:24" x14ac:dyDescent="0.25">
      <c r="C32">
        <f t="shared" si="3"/>
        <v>31</v>
      </c>
      <c r="E32" t="str">
        <f t="shared" si="5"/>
        <v>31 GICS-PdivMA20 (beta3m+ Longi.rank&lt;1000)</v>
      </c>
      <c r="F32" t="s">
        <v>133</v>
      </c>
      <c r="G32" t="s">
        <v>131</v>
      </c>
      <c r="H32" t="s">
        <v>26</v>
      </c>
      <c r="K32" t="s">
        <v>31</v>
      </c>
      <c r="L32" t="s">
        <v>28</v>
      </c>
      <c r="M32">
        <v>0.1</v>
      </c>
      <c r="N32">
        <v>5</v>
      </c>
      <c r="O32">
        <v>4</v>
      </c>
      <c r="P32" t="s">
        <v>132</v>
      </c>
      <c r="Q32" t="s">
        <v>27</v>
      </c>
      <c r="R32" t="s">
        <v>28</v>
      </c>
      <c r="S32">
        <v>1</v>
      </c>
      <c r="T32">
        <v>3</v>
      </c>
      <c r="U32">
        <v>0</v>
      </c>
      <c r="V32">
        <v>20</v>
      </c>
      <c r="W32">
        <v>0</v>
      </c>
      <c r="X32" t="s">
        <v>29</v>
      </c>
    </row>
    <row r="33" spans="3:24" x14ac:dyDescent="0.25">
      <c r="C33">
        <f t="shared" si="3"/>
        <v>32</v>
      </c>
      <c r="E33" t="str">
        <f t="shared" si="5"/>
        <v>32 GICS-rank (beta3m+ Longi.rank&lt;1000)</v>
      </c>
      <c r="F33" t="s">
        <v>141</v>
      </c>
      <c r="G33" t="s">
        <v>131</v>
      </c>
      <c r="H33" t="s">
        <v>26</v>
      </c>
      <c r="K33" t="s">
        <v>32</v>
      </c>
      <c r="L33" t="s">
        <v>33</v>
      </c>
      <c r="M33">
        <v>0.1</v>
      </c>
      <c r="N33">
        <v>5</v>
      </c>
      <c r="O33">
        <v>4</v>
      </c>
      <c r="P33" t="s">
        <v>132</v>
      </c>
      <c r="Q33" t="s">
        <v>27</v>
      </c>
      <c r="R33" t="s">
        <v>28</v>
      </c>
      <c r="S33">
        <v>1</v>
      </c>
      <c r="T33">
        <v>3</v>
      </c>
      <c r="U33">
        <v>0</v>
      </c>
      <c r="V33">
        <v>20</v>
      </c>
      <c r="W33">
        <v>0</v>
      </c>
      <c r="X33" t="s">
        <v>135</v>
      </c>
    </row>
    <row r="34" spans="3:24" x14ac:dyDescent="0.25">
      <c r="C34">
        <f t="shared" si="3"/>
        <v>33</v>
      </c>
      <c r="E34" t="str">
        <f t="shared" si="5"/>
        <v>33 GICS-sh3m (beta3m+ Longi.rank&lt;1000)</v>
      </c>
      <c r="G34" t="s">
        <v>131</v>
      </c>
      <c r="H34" t="s">
        <v>26</v>
      </c>
      <c r="K34" t="s">
        <v>34</v>
      </c>
      <c r="L34" t="s">
        <v>28</v>
      </c>
      <c r="M34">
        <v>0.1</v>
      </c>
      <c r="N34">
        <v>5</v>
      </c>
      <c r="O34">
        <v>4</v>
      </c>
      <c r="P34" t="s">
        <v>132</v>
      </c>
      <c r="Q34" t="s">
        <v>27</v>
      </c>
      <c r="R34" t="s">
        <v>28</v>
      </c>
      <c r="S34">
        <v>1</v>
      </c>
      <c r="T34">
        <v>3</v>
      </c>
      <c r="U34">
        <v>0</v>
      </c>
      <c r="V34">
        <v>20</v>
      </c>
      <c r="W34">
        <v>0</v>
      </c>
      <c r="X34" t="s">
        <v>29</v>
      </c>
    </row>
    <row r="35" spans="3:24" x14ac:dyDescent="0.25">
      <c r="C35">
        <f t="shared" si="3"/>
        <v>34</v>
      </c>
      <c r="E35" t="str">
        <f t="shared" si="5"/>
        <v>34 GICS-rsi (beta3m+ Longi.rank&lt;1000)</v>
      </c>
      <c r="G35" t="s">
        <v>131</v>
      </c>
      <c r="H35" t="s">
        <v>26</v>
      </c>
      <c r="K35" t="s">
        <v>48</v>
      </c>
      <c r="L35" t="s">
        <v>28</v>
      </c>
      <c r="M35">
        <v>0.1</v>
      </c>
      <c r="N35">
        <v>5</v>
      </c>
      <c r="O35">
        <v>4</v>
      </c>
      <c r="P35" t="s">
        <v>132</v>
      </c>
      <c r="Q35" t="s">
        <v>27</v>
      </c>
      <c r="R35" t="s">
        <v>28</v>
      </c>
      <c r="S35">
        <v>1</v>
      </c>
      <c r="T35">
        <v>3</v>
      </c>
      <c r="U35">
        <v>0</v>
      </c>
      <c r="V35">
        <v>20</v>
      </c>
      <c r="W35">
        <v>0</v>
      </c>
      <c r="X35" t="s">
        <v>29</v>
      </c>
    </row>
    <row r="36" spans="3:24" x14ac:dyDescent="0.25">
      <c r="C36">
        <f t="shared" si="3"/>
        <v>35</v>
      </c>
      <c r="E36" t="str">
        <f t="shared" si="5"/>
        <v>35 GICS-spr100d (beta3m+ Longi.rank&lt;1000)</v>
      </c>
      <c r="G36" t="s">
        <v>131</v>
      </c>
      <c r="H36" t="s">
        <v>26</v>
      </c>
      <c r="K36" t="s">
        <v>51</v>
      </c>
      <c r="L36" t="s">
        <v>33</v>
      </c>
      <c r="M36">
        <v>0.1</v>
      </c>
      <c r="N36">
        <v>5</v>
      </c>
      <c r="O36">
        <v>4</v>
      </c>
      <c r="P36" t="s">
        <v>132</v>
      </c>
      <c r="Q36" t="s">
        <v>27</v>
      </c>
      <c r="R36" t="s">
        <v>28</v>
      </c>
      <c r="S36">
        <v>1</v>
      </c>
      <c r="T36">
        <v>3</v>
      </c>
      <c r="U36">
        <v>0</v>
      </c>
      <c r="V36">
        <v>20</v>
      </c>
      <c r="W36">
        <v>0</v>
      </c>
      <c r="X36" t="s">
        <v>29</v>
      </c>
    </row>
    <row r="37" spans="3:24" x14ac:dyDescent="0.25">
      <c r="C37">
        <f t="shared" si="3"/>
        <v>36</v>
      </c>
      <c r="E37" t="str">
        <f t="shared" si="5"/>
        <v>36 GICS-rank (beta3m)</v>
      </c>
      <c r="G37" t="s">
        <v>131</v>
      </c>
      <c r="H37" t="s">
        <v>26</v>
      </c>
      <c r="K37" t="s">
        <v>32</v>
      </c>
      <c r="L37" t="s">
        <v>33</v>
      </c>
      <c r="M37">
        <v>0.1</v>
      </c>
      <c r="N37">
        <v>5</v>
      </c>
      <c r="O37">
        <v>4</v>
      </c>
      <c r="Q37" t="s">
        <v>27</v>
      </c>
      <c r="R37" t="s">
        <v>28</v>
      </c>
      <c r="S37">
        <v>1</v>
      </c>
      <c r="T37">
        <v>3</v>
      </c>
      <c r="U37">
        <v>0</v>
      </c>
      <c r="V37">
        <v>20</v>
      </c>
      <c r="W37">
        <v>0</v>
      </c>
      <c r="X37" t="s">
        <v>135</v>
      </c>
    </row>
    <row r="38" spans="3:24" x14ac:dyDescent="0.25">
      <c r="C38">
        <f t="shared" si="3"/>
        <v>37</v>
      </c>
      <c r="E38" t="str">
        <f t="shared" si="5"/>
        <v>37 GICS-rank (beta3m+ Longi.per1d&gt;0)</v>
      </c>
      <c r="F38" t="s">
        <v>141</v>
      </c>
      <c r="G38" t="s">
        <v>131</v>
      </c>
      <c r="H38" t="s">
        <v>26</v>
      </c>
      <c r="K38" t="s">
        <v>32</v>
      </c>
      <c r="L38" t="s">
        <v>33</v>
      </c>
      <c r="M38">
        <v>0.1</v>
      </c>
      <c r="N38">
        <v>5</v>
      </c>
      <c r="O38">
        <v>4</v>
      </c>
      <c r="P38" t="s">
        <v>136</v>
      </c>
      <c r="Q38" t="s">
        <v>27</v>
      </c>
      <c r="R38" t="s">
        <v>28</v>
      </c>
      <c r="S38">
        <v>1</v>
      </c>
      <c r="T38">
        <v>3</v>
      </c>
      <c r="U38">
        <v>0</v>
      </c>
      <c r="V38">
        <v>20</v>
      </c>
      <c r="W38">
        <v>0</v>
      </c>
      <c r="X38" t="s">
        <v>135</v>
      </c>
    </row>
    <row r="39" spans="3:24" x14ac:dyDescent="0.25">
      <c r="C39">
        <f t="shared" si="3"/>
        <v>38</v>
      </c>
      <c r="E39" t="str">
        <f t="shared" si="5"/>
        <v>38 GICS-rank (beta3m+ Longi.regr20d&gt;0)</v>
      </c>
      <c r="G39" t="s">
        <v>131</v>
      </c>
      <c r="H39" t="s">
        <v>26</v>
      </c>
      <c r="K39" t="s">
        <v>32</v>
      </c>
      <c r="L39" t="s">
        <v>33</v>
      </c>
      <c r="M39">
        <v>0.1</v>
      </c>
      <c r="N39">
        <v>5</v>
      </c>
      <c r="O39">
        <v>4</v>
      </c>
      <c r="P39" t="s">
        <v>137</v>
      </c>
      <c r="Q39" t="s">
        <v>27</v>
      </c>
      <c r="R39" t="s">
        <v>28</v>
      </c>
      <c r="S39">
        <v>1</v>
      </c>
      <c r="T39">
        <v>3</v>
      </c>
      <c r="U39">
        <v>0</v>
      </c>
      <c r="V39">
        <v>20</v>
      </c>
      <c r="W39">
        <v>0</v>
      </c>
      <c r="X39" t="s">
        <v>135</v>
      </c>
    </row>
    <row r="40" spans="3:24" x14ac:dyDescent="0.25">
      <c r="C40">
        <f t="shared" si="3"/>
        <v>39</v>
      </c>
      <c r="E40" t="str">
        <f t="shared" si="5"/>
        <v>39 GICS-rank (beta3m+ Longi.regr50d&gt;0)</v>
      </c>
      <c r="G40" t="s">
        <v>131</v>
      </c>
      <c r="H40" t="s">
        <v>26</v>
      </c>
      <c r="K40" t="s">
        <v>32</v>
      </c>
      <c r="L40" t="s">
        <v>33</v>
      </c>
      <c r="M40">
        <v>0.1</v>
      </c>
      <c r="N40">
        <v>5</v>
      </c>
      <c r="O40">
        <v>4</v>
      </c>
      <c r="P40" t="s">
        <v>138</v>
      </c>
      <c r="Q40" t="s">
        <v>27</v>
      </c>
      <c r="R40" t="s">
        <v>28</v>
      </c>
      <c r="S40">
        <v>1</v>
      </c>
      <c r="T40">
        <v>3</v>
      </c>
      <c r="U40">
        <v>0</v>
      </c>
      <c r="V40">
        <v>20</v>
      </c>
      <c r="W40">
        <v>0</v>
      </c>
      <c r="X40" t="s">
        <v>135</v>
      </c>
    </row>
    <row r="41" spans="3:24" x14ac:dyDescent="0.25">
      <c r="C41">
        <f t="shared" si="3"/>
        <v>40</v>
      </c>
      <c r="E41" t="str">
        <f t="shared" si="5"/>
        <v>40 GICS-rank (beta3m+ Longi.median_10d&lt;1100)</v>
      </c>
      <c r="F41" t="s">
        <v>141</v>
      </c>
      <c r="G41" t="s">
        <v>131</v>
      </c>
      <c r="H41" t="s">
        <v>26</v>
      </c>
      <c r="K41" t="s">
        <v>32</v>
      </c>
      <c r="L41" t="s">
        <v>33</v>
      </c>
      <c r="M41">
        <v>0.1</v>
      </c>
      <c r="N41">
        <v>5</v>
      </c>
      <c r="O41">
        <v>4</v>
      </c>
      <c r="P41" t="s">
        <v>139</v>
      </c>
      <c r="Q41" t="s">
        <v>27</v>
      </c>
      <c r="R41" t="s">
        <v>28</v>
      </c>
      <c r="S41">
        <v>1</v>
      </c>
      <c r="T41">
        <v>3</v>
      </c>
      <c r="U41">
        <v>0</v>
      </c>
      <c r="V41">
        <v>20</v>
      </c>
      <c r="W41">
        <v>0</v>
      </c>
      <c r="X41" t="s">
        <v>135</v>
      </c>
    </row>
    <row r="42" spans="3:24" x14ac:dyDescent="0.25">
      <c r="C42">
        <f t="shared" si="3"/>
        <v>41</v>
      </c>
      <c r="E42" t="str">
        <f t="shared" si="5"/>
        <v>41 GICS-rank (beta3m+ Longi.median_10d&lt;1000)</v>
      </c>
      <c r="F42" t="s">
        <v>141</v>
      </c>
      <c r="G42" t="s">
        <v>131</v>
      </c>
      <c r="H42" t="s">
        <v>26</v>
      </c>
      <c r="K42" t="s">
        <v>32</v>
      </c>
      <c r="L42" t="s">
        <v>33</v>
      </c>
      <c r="M42">
        <v>0.1</v>
      </c>
      <c r="N42">
        <v>5</v>
      </c>
      <c r="O42">
        <v>4</v>
      </c>
      <c r="P42" t="s">
        <v>140</v>
      </c>
      <c r="Q42" t="s">
        <v>27</v>
      </c>
      <c r="R42" t="s">
        <v>28</v>
      </c>
      <c r="S42">
        <v>1</v>
      </c>
      <c r="T42">
        <v>3</v>
      </c>
      <c r="U42">
        <v>0</v>
      </c>
      <c r="V42">
        <v>20</v>
      </c>
      <c r="W42">
        <v>0</v>
      </c>
      <c r="X42" t="s">
        <v>135</v>
      </c>
    </row>
    <row r="43" spans="3:24" x14ac:dyDescent="0.25">
      <c r="C43">
        <f t="shared" si="3"/>
        <v>42</v>
      </c>
      <c r="E43" t="str">
        <f t="shared" si="5"/>
        <v>42 GICS-PdivMA20 (beta3m)</v>
      </c>
      <c r="G43" t="s">
        <v>131</v>
      </c>
      <c r="H43" t="s">
        <v>26</v>
      </c>
      <c r="K43" t="s">
        <v>31</v>
      </c>
      <c r="L43" t="s">
        <v>28</v>
      </c>
      <c r="M43">
        <v>0.1</v>
      </c>
      <c r="N43">
        <v>5</v>
      </c>
      <c r="O43">
        <v>4</v>
      </c>
      <c r="Q43" t="s">
        <v>27</v>
      </c>
      <c r="R43" t="s">
        <v>28</v>
      </c>
      <c r="S43">
        <v>1</v>
      </c>
      <c r="T43">
        <v>3</v>
      </c>
      <c r="U43">
        <v>0</v>
      </c>
      <c r="V43">
        <v>20</v>
      </c>
      <c r="W43">
        <v>0</v>
      </c>
      <c r="X43" t="s">
        <v>29</v>
      </c>
    </row>
    <row r="44" spans="3:24" s="11" customFormat="1" x14ac:dyDescent="0.25">
      <c r="C44" s="11">
        <f t="shared" si="3"/>
        <v>43</v>
      </c>
      <c r="E44" s="11" t="str">
        <f t="shared" si="5"/>
        <v>43 GICS-rank (beta3m)</v>
      </c>
      <c r="F44" s="11" t="s">
        <v>144</v>
      </c>
      <c r="G44" s="11" t="s">
        <v>131</v>
      </c>
      <c r="H44" s="11" t="s">
        <v>26</v>
      </c>
      <c r="K44" s="11" t="s">
        <v>32</v>
      </c>
      <c r="L44" s="11" t="s">
        <v>33</v>
      </c>
      <c r="M44" s="11">
        <v>0.1</v>
      </c>
      <c r="N44" s="11">
        <v>5</v>
      </c>
      <c r="O44" s="11">
        <v>4</v>
      </c>
      <c r="Q44" s="11" t="s">
        <v>27</v>
      </c>
      <c r="R44" s="11" t="s">
        <v>28</v>
      </c>
      <c r="S44" s="11">
        <v>1</v>
      </c>
      <c r="T44" s="11">
        <v>3</v>
      </c>
      <c r="U44" s="11">
        <v>0</v>
      </c>
      <c r="V44" s="11">
        <v>20</v>
      </c>
      <c r="W44" s="11">
        <v>0</v>
      </c>
      <c r="X44" s="11" t="s">
        <v>135</v>
      </c>
    </row>
    <row r="45" spans="3:24" x14ac:dyDescent="0.25">
      <c r="C45">
        <f t="shared" si="3"/>
        <v>44</v>
      </c>
      <c r="E45" t="str">
        <f t="shared" si="5"/>
        <v>44 GICS-rank (PdivMA20+ Longi.rank&lt;1000)</v>
      </c>
      <c r="F45" t="s">
        <v>130</v>
      </c>
      <c r="G45" t="s">
        <v>131</v>
      </c>
      <c r="H45" t="s">
        <v>26</v>
      </c>
      <c r="K45" t="s">
        <v>32</v>
      </c>
      <c r="L45" t="s">
        <v>33</v>
      </c>
      <c r="M45">
        <v>0.1</v>
      </c>
      <c r="N45">
        <v>5</v>
      </c>
      <c r="O45">
        <v>4</v>
      </c>
      <c r="P45" t="s">
        <v>132</v>
      </c>
      <c r="Q45" t="s">
        <v>31</v>
      </c>
      <c r="R45" t="s">
        <v>28</v>
      </c>
      <c r="S45">
        <v>1</v>
      </c>
      <c r="T45">
        <v>3</v>
      </c>
      <c r="U45">
        <v>0</v>
      </c>
      <c r="V45">
        <v>20</v>
      </c>
      <c r="W45">
        <v>0</v>
      </c>
      <c r="X45" t="s">
        <v>29</v>
      </c>
    </row>
    <row r="46" spans="3:24" x14ac:dyDescent="0.25">
      <c r="C46">
        <f t="shared" si="3"/>
        <v>45</v>
      </c>
      <c r="E46" t="str">
        <f t="shared" si="5"/>
        <v>45 GICS-rank (PdivMA20)</v>
      </c>
      <c r="F46" t="s">
        <v>130</v>
      </c>
      <c r="G46" t="s">
        <v>131</v>
      </c>
      <c r="H46" t="s">
        <v>26</v>
      </c>
      <c r="K46" t="s">
        <v>32</v>
      </c>
      <c r="L46" t="s">
        <v>33</v>
      </c>
      <c r="M46">
        <v>0.1</v>
      </c>
      <c r="N46">
        <v>5</v>
      </c>
      <c r="O46">
        <v>4</v>
      </c>
      <c r="Q46" t="s">
        <v>31</v>
      </c>
      <c r="R46" t="s">
        <v>28</v>
      </c>
      <c r="S46">
        <v>1</v>
      </c>
      <c r="T46">
        <v>3</v>
      </c>
      <c r="U46">
        <v>0</v>
      </c>
      <c r="V46">
        <v>20</v>
      </c>
      <c r="W46">
        <v>0</v>
      </c>
      <c r="X46" t="s">
        <v>29</v>
      </c>
    </row>
    <row r="47" spans="3:24" x14ac:dyDescent="0.25">
      <c r="C47">
        <f t="shared" si="3"/>
        <v>46</v>
      </c>
      <c r="E47" t="str">
        <f t="shared" si="5"/>
        <v>46 GICS-rank (beta3m+ Longi.rank&lt;1000)</v>
      </c>
      <c r="F47" t="s">
        <v>130</v>
      </c>
      <c r="G47" t="s">
        <v>131</v>
      </c>
      <c r="H47" t="s">
        <v>26</v>
      </c>
      <c r="K47" t="s">
        <v>32</v>
      </c>
      <c r="L47" t="s">
        <v>33</v>
      </c>
      <c r="M47">
        <v>0.2</v>
      </c>
      <c r="N47">
        <v>5</v>
      </c>
      <c r="O47">
        <v>4</v>
      </c>
      <c r="P47" t="s">
        <v>132</v>
      </c>
      <c r="Q47" t="s">
        <v>27</v>
      </c>
      <c r="R47" t="s">
        <v>28</v>
      </c>
      <c r="S47">
        <v>1</v>
      </c>
      <c r="T47">
        <v>3</v>
      </c>
      <c r="U47">
        <v>0</v>
      </c>
      <c r="V47">
        <v>20</v>
      </c>
      <c r="W47">
        <v>0</v>
      </c>
      <c r="X47" t="s">
        <v>29</v>
      </c>
    </row>
    <row r="48" spans="3:24" x14ac:dyDescent="0.25">
      <c r="C48">
        <f t="shared" si="3"/>
        <v>47</v>
      </c>
      <c r="E48" t="str">
        <f t="shared" si="5"/>
        <v>47 GICS-rank (beta3m)</v>
      </c>
      <c r="F48" t="s">
        <v>130</v>
      </c>
      <c r="G48" t="s">
        <v>131</v>
      </c>
      <c r="H48" t="s">
        <v>26</v>
      </c>
      <c r="K48" t="s">
        <v>32</v>
      </c>
      <c r="L48" t="s">
        <v>33</v>
      </c>
      <c r="M48">
        <v>0.2</v>
      </c>
      <c r="N48">
        <v>5</v>
      </c>
      <c r="O48">
        <v>4</v>
      </c>
      <c r="Q48" t="s">
        <v>27</v>
      </c>
      <c r="R48" t="s">
        <v>28</v>
      </c>
      <c r="S48">
        <v>1</v>
      </c>
      <c r="T48">
        <v>3</v>
      </c>
      <c r="U48">
        <v>0</v>
      </c>
      <c r="V48">
        <v>20</v>
      </c>
      <c r="W48">
        <v>0</v>
      </c>
      <c r="X48" t="s">
        <v>29</v>
      </c>
    </row>
    <row r="49" spans="3:24" x14ac:dyDescent="0.25">
      <c r="C49">
        <f t="shared" si="3"/>
        <v>48</v>
      </c>
      <c r="E49" t="str">
        <f t="shared" si="5"/>
        <v>48 GICS-rank (PdivMA20+ Longi.rank&lt;1000)</v>
      </c>
      <c r="F49" t="s">
        <v>130</v>
      </c>
      <c r="G49" t="s">
        <v>131</v>
      </c>
      <c r="H49" t="s">
        <v>26</v>
      </c>
      <c r="K49" t="s">
        <v>32</v>
      </c>
      <c r="L49" t="s">
        <v>33</v>
      </c>
      <c r="M49">
        <v>0.1</v>
      </c>
      <c r="N49">
        <v>3</v>
      </c>
      <c r="O49">
        <v>4</v>
      </c>
      <c r="P49" t="s">
        <v>132</v>
      </c>
      <c r="Q49" t="s">
        <v>31</v>
      </c>
      <c r="R49" t="s">
        <v>28</v>
      </c>
      <c r="S49">
        <v>1</v>
      </c>
      <c r="T49">
        <v>3</v>
      </c>
      <c r="U49">
        <v>0</v>
      </c>
      <c r="V49">
        <v>20</v>
      </c>
      <c r="W49">
        <v>0</v>
      </c>
      <c r="X49" t="s">
        <v>29</v>
      </c>
    </row>
    <row r="50" spans="3:24" x14ac:dyDescent="0.25">
      <c r="C50">
        <f t="shared" si="3"/>
        <v>49</v>
      </c>
      <c r="E50" t="str">
        <f t="shared" si="5"/>
        <v>49 GICS-rank (PdivMA20)</v>
      </c>
      <c r="F50" t="s">
        <v>130</v>
      </c>
      <c r="G50" t="s">
        <v>131</v>
      </c>
      <c r="H50" t="s">
        <v>26</v>
      </c>
      <c r="K50" t="s">
        <v>32</v>
      </c>
      <c r="L50" t="s">
        <v>33</v>
      </c>
      <c r="M50">
        <v>0.1</v>
      </c>
      <c r="N50">
        <v>3</v>
      </c>
      <c r="O50">
        <v>4</v>
      </c>
      <c r="Q50" t="s">
        <v>31</v>
      </c>
      <c r="R50" t="s">
        <v>28</v>
      </c>
      <c r="S50">
        <v>1</v>
      </c>
      <c r="T50">
        <v>3</v>
      </c>
      <c r="U50">
        <v>0</v>
      </c>
      <c r="V50">
        <v>20</v>
      </c>
      <c r="W50">
        <v>0</v>
      </c>
      <c r="X50" t="s">
        <v>29</v>
      </c>
    </row>
    <row r="51" spans="3:24" x14ac:dyDescent="0.25">
      <c r="C51">
        <f t="shared" si="3"/>
        <v>50</v>
      </c>
      <c r="E51" t="str">
        <f t="shared" si="5"/>
        <v>50 GICS-rank (beta3m+ Longi.rank&lt;1000)</v>
      </c>
      <c r="F51" t="s">
        <v>130</v>
      </c>
      <c r="G51" t="s">
        <v>131</v>
      </c>
      <c r="H51" t="s">
        <v>26</v>
      </c>
      <c r="K51" t="s">
        <v>32</v>
      </c>
      <c r="L51" t="s">
        <v>33</v>
      </c>
      <c r="M51">
        <v>0.1</v>
      </c>
      <c r="N51">
        <v>3</v>
      </c>
      <c r="O51">
        <v>4</v>
      </c>
      <c r="P51" t="s">
        <v>132</v>
      </c>
      <c r="Q51" t="s">
        <v>27</v>
      </c>
      <c r="R51" t="s">
        <v>28</v>
      </c>
      <c r="S51">
        <v>1</v>
      </c>
      <c r="T51">
        <v>3</v>
      </c>
      <c r="U51">
        <v>0</v>
      </c>
      <c r="V51">
        <v>20</v>
      </c>
      <c r="W51">
        <v>0</v>
      </c>
      <c r="X51" t="s">
        <v>29</v>
      </c>
    </row>
    <row r="52" spans="3:24" x14ac:dyDescent="0.25">
      <c r="C52">
        <f t="shared" si="3"/>
        <v>51</v>
      </c>
      <c r="E52" t="str">
        <f t="shared" si="5"/>
        <v>51 GICS-rank (beta3m)</v>
      </c>
      <c r="F52" t="s">
        <v>130</v>
      </c>
      <c r="G52" t="s">
        <v>131</v>
      </c>
      <c r="H52" t="s">
        <v>26</v>
      </c>
      <c r="K52" t="s">
        <v>32</v>
      </c>
      <c r="L52" t="s">
        <v>33</v>
      </c>
      <c r="M52">
        <v>0.1</v>
      </c>
      <c r="N52">
        <v>3</v>
      </c>
      <c r="O52">
        <v>4</v>
      </c>
      <c r="Q52" t="s">
        <v>27</v>
      </c>
      <c r="R52" t="s">
        <v>28</v>
      </c>
      <c r="S52">
        <v>1</v>
      </c>
      <c r="T52">
        <v>3</v>
      </c>
      <c r="U52">
        <v>0</v>
      </c>
      <c r="V52">
        <v>20</v>
      </c>
      <c r="W52">
        <v>0</v>
      </c>
      <c r="X52" t="s">
        <v>29</v>
      </c>
    </row>
    <row r="53" spans="3:24" x14ac:dyDescent="0.25">
      <c r="C53">
        <f t="shared" si="3"/>
        <v>52</v>
      </c>
      <c r="E53" t="str">
        <f t="shared" si="5"/>
        <v>52 GICS-rank (rsi)</v>
      </c>
      <c r="F53" t="s">
        <v>130</v>
      </c>
      <c r="G53" t="s">
        <v>25</v>
      </c>
      <c r="H53" t="s">
        <v>26</v>
      </c>
      <c r="K53" t="s">
        <v>32</v>
      </c>
      <c r="L53" t="s">
        <v>33</v>
      </c>
      <c r="M53">
        <v>0.1</v>
      </c>
      <c r="N53">
        <v>10</v>
      </c>
      <c r="O53">
        <v>4</v>
      </c>
      <c r="Q53" t="s">
        <v>48</v>
      </c>
      <c r="R53" t="s">
        <v>28</v>
      </c>
      <c r="S53">
        <v>1</v>
      </c>
      <c r="T53">
        <v>3</v>
      </c>
      <c r="U53">
        <v>0</v>
      </c>
      <c r="V53">
        <v>20</v>
      </c>
      <c r="W53">
        <v>0</v>
      </c>
      <c r="X53" t="s">
        <v>135</v>
      </c>
    </row>
    <row r="54" spans="3:24" x14ac:dyDescent="0.25">
      <c r="C54">
        <f t="shared" si="3"/>
        <v>53</v>
      </c>
      <c r="E54" t="str">
        <f t="shared" si="5"/>
        <v>53 GICS-rank (rank)</v>
      </c>
      <c r="F54" t="s">
        <v>134</v>
      </c>
      <c r="G54" t="s">
        <v>25</v>
      </c>
      <c r="H54" t="s">
        <v>26</v>
      </c>
      <c r="K54" t="s">
        <v>32</v>
      </c>
      <c r="L54" t="s">
        <v>33</v>
      </c>
      <c r="M54">
        <v>0.1</v>
      </c>
      <c r="N54">
        <v>10</v>
      </c>
      <c r="O54">
        <v>4</v>
      </c>
      <c r="Q54" t="s">
        <v>32</v>
      </c>
      <c r="R54" t="s">
        <v>33</v>
      </c>
      <c r="S54">
        <v>1</v>
      </c>
      <c r="T54">
        <v>3</v>
      </c>
      <c r="U54">
        <v>0</v>
      </c>
      <c r="V54">
        <v>20</v>
      </c>
      <c r="W54">
        <v>0</v>
      </c>
      <c r="X54" t="s">
        <v>135</v>
      </c>
    </row>
    <row r="55" spans="3:24" x14ac:dyDescent="0.25">
      <c r="C55">
        <f t="shared" si="3"/>
        <v>54</v>
      </c>
      <c r="E55" t="str">
        <f t="shared" si="5"/>
        <v>54 GICS-rank (rsi)</v>
      </c>
      <c r="F55" t="s">
        <v>130</v>
      </c>
      <c r="G55" t="s">
        <v>25</v>
      </c>
      <c r="H55" t="s">
        <v>26</v>
      </c>
      <c r="K55" t="s">
        <v>32</v>
      </c>
      <c r="L55" t="s">
        <v>33</v>
      </c>
      <c r="M55">
        <v>0.1</v>
      </c>
      <c r="N55">
        <v>10</v>
      </c>
      <c r="O55">
        <v>4</v>
      </c>
      <c r="Q55" t="s">
        <v>48</v>
      </c>
      <c r="R55" t="s">
        <v>28</v>
      </c>
      <c r="S55">
        <v>-1</v>
      </c>
      <c r="T55">
        <v>3</v>
      </c>
      <c r="U55">
        <v>0</v>
      </c>
      <c r="V55">
        <v>20</v>
      </c>
      <c r="W55">
        <v>0</v>
      </c>
      <c r="X55" t="s">
        <v>135</v>
      </c>
    </row>
    <row r="56" spans="3:24" s="9" customFormat="1" x14ac:dyDescent="0.25">
      <c r="C56" s="9">
        <f t="shared" si="3"/>
        <v>55</v>
      </c>
      <c r="E56" s="9" t="str">
        <f t="shared" si="5"/>
        <v>55 GICS-rank (rank)</v>
      </c>
      <c r="F56" s="9" t="s">
        <v>134</v>
      </c>
      <c r="G56" s="9" t="s">
        <v>25</v>
      </c>
      <c r="H56" s="9" t="s">
        <v>26</v>
      </c>
      <c r="K56" s="9" t="s">
        <v>32</v>
      </c>
      <c r="L56" s="9" t="s">
        <v>33</v>
      </c>
      <c r="M56" s="9">
        <v>0.1</v>
      </c>
      <c r="N56" s="9">
        <v>10</v>
      </c>
      <c r="O56" s="9">
        <v>4</v>
      </c>
      <c r="Q56" s="9" t="s">
        <v>32</v>
      </c>
      <c r="R56" s="9" t="s">
        <v>33</v>
      </c>
      <c r="S56" s="9">
        <v>-1</v>
      </c>
      <c r="T56" s="9">
        <v>3</v>
      </c>
      <c r="U56" s="9">
        <v>0</v>
      </c>
      <c r="V56" s="9">
        <v>20</v>
      </c>
      <c r="W56" s="9">
        <v>0</v>
      </c>
      <c r="X56" t="s">
        <v>135</v>
      </c>
    </row>
    <row r="57" spans="3:24" x14ac:dyDescent="0.25">
      <c r="C57">
        <f t="shared" si="3"/>
        <v>56</v>
      </c>
      <c r="E57" t="str">
        <f t="shared" si="5"/>
        <v>56 GICS-beta3m (beta3m+ Longi.beta3m&gt;2.5)</v>
      </c>
      <c r="F57" t="s">
        <v>145</v>
      </c>
      <c r="G57" t="s">
        <v>25</v>
      </c>
      <c r="H57" t="s">
        <v>26</v>
      </c>
      <c r="K57" t="s">
        <v>27</v>
      </c>
      <c r="L57" t="s">
        <v>28</v>
      </c>
      <c r="M57">
        <v>0.1</v>
      </c>
      <c r="N57">
        <v>10</v>
      </c>
      <c r="O57">
        <v>4</v>
      </c>
      <c r="P57" t="s">
        <v>143</v>
      </c>
      <c r="Q57" t="s">
        <v>27</v>
      </c>
      <c r="R57" t="s">
        <v>28</v>
      </c>
      <c r="S57">
        <v>1</v>
      </c>
      <c r="T57">
        <v>1</v>
      </c>
      <c r="U57">
        <v>0</v>
      </c>
      <c r="V57">
        <v>20</v>
      </c>
      <c r="W57">
        <v>0</v>
      </c>
      <c r="X57" t="s">
        <v>135</v>
      </c>
    </row>
    <row r="58" spans="3:24" x14ac:dyDescent="0.25">
      <c r="C58">
        <f t="shared" si="3"/>
        <v>57</v>
      </c>
      <c r="E58" t="str">
        <f t="shared" si="5"/>
        <v>57 GICS-beta3m (beta3m+ Longi.beta3m&gt;2.5)</v>
      </c>
      <c r="F58" t="s">
        <v>145</v>
      </c>
      <c r="G58" t="s">
        <v>25</v>
      </c>
      <c r="H58" t="s">
        <v>26</v>
      </c>
      <c r="K58" t="s">
        <v>27</v>
      </c>
      <c r="L58" t="s">
        <v>28</v>
      </c>
      <c r="M58">
        <v>0.1</v>
      </c>
      <c r="N58">
        <v>10</v>
      </c>
      <c r="O58">
        <v>4</v>
      </c>
      <c r="P58" t="s">
        <v>143</v>
      </c>
      <c r="Q58" t="s">
        <v>27</v>
      </c>
      <c r="R58" t="s">
        <v>28</v>
      </c>
      <c r="S58">
        <v>1</v>
      </c>
      <c r="T58">
        <v>5</v>
      </c>
      <c r="U58">
        <v>0</v>
      </c>
      <c r="V58">
        <v>20</v>
      </c>
      <c r="W58">
        <v>0</v>
      </c>
      <c r="X58" t="s">
        <v>135</v>
      </c>
    </row>
    <row r="59" spans="3:24" s="9" customFormat="1" x14ac:dyDescent="0.25">
      <c r="C59" s="9">
        <f t="shared" si="3"/>
        <v>58</v>
      </c>
      <c r="E59" s="9" t="str">
        <f t="shared" si="5"/>
        <v>58 GICS-beta3m (beta3m+ Longi.beta3m&gt;2.5)</v>
      </c>
      <c r="F59" s="9" t="s">
        <v>145</v>
      </c>
      <c r="G59" s="9" t="s">
        <v>25</v>
      </c>
      <c r="H59" s="9" t="s">
        <v>26</v>
      </c>
      <c r="K59" s="9" t="s">
        <v>27</v>
      </c>
      <c r="L59" s="9" t="s">
        <v>28</v>
      </c>
      <c r="M59" s="9">
        <v>0.1</v>
      </c>
      <c r="N59" s="9">
        <v>10</v>
      </c>
      <c r="O59" s="9">
        <v>4</v>
      </c>
      <c r="P59" s="9" t="s">
        <v>143</v>
      </c>
      <c r="Q59" s="9" t="s">
        <v>27</v>
      </c>
      <c r="R59" s="9" t="s">
        <v>28</v>
      </c>
      <c r="S59" s="9">
        <v>1</v>
      </c>
      <c r="T59" s="9">
        <v>10</v>
      </c>
      <c r="U59" s="9">
        <v>0</v>
      </c>
      <c r="V59" s="9">
        <v>20</v>
      </c>
      <c r="W59" s="9">
        <v>0</v>
      </c>
      <c r="X59" s="9" t="s">
        <v>135</v>
      </c>
    </row>
    <row r="60" spans="3:24" x14ac:dyDescent="0.25">
      <c r="C60">
        <f t="shared" si="3"/>
        <v>59</v>
      </c>
      <c r="E60" t="str">
        <f t="shared" si="5"/>
        <v>59 GICS-beta3m (beta3m+ Longi.beta3m&gt;2.5)</v>
      </c>
      <c r="F60" t="s">
        <v>146</v>
      </c>
      <c r="G60" t="s">
        <v>25</v>
      </c>
      <c r="H60" t="s">
        <v>26</v>
      </c>
      <c r="K60" t="s">
        <v>27</v>
      </c>
      <c r="L60" t="s">
        <v>28</v>
      </c>
      <c r="M60">
        <v>0.1</v>
      </c>
      <c r="N60">
        <v>10</v>
      </c>
      <c r="O60">
        <v>6</v>
      </c>
      <c r="P60" t="s">
        <v>143</v>
      </c>
      <c r="Q60" t="s">
        <v>27</v>
      </c>
      <c r="R60" t="s">
        <v>28</v>
      </c>
      <c r="S60">
        <v>1</v>
      </c>
      <c r="T60">
        <v>3</v>
      </c>
      <c r="U60">
        <v>0</v>
      </c>
      <c r="V60">
        <v>20</v>
      </c>
      <c r="W60">
        <v>0</v>
      </c>
      <c r="X60" t="s">
        <v>135</v>
      </c>
    </row>
    <row r="61" spans="3:24" x14ac:dyDescent="0.25">
      <c r="C61">
        <f t="shared" si="3"/>
        <v>60</v>
      </c>
      <c r="E61" t="str">
        <f t="shared" si="5"/>
        <v>60 GICS-beta3m (beta3m+ Longi.beta3m&gt;2.5)</v>
      </c>
      <c r="F61" t="s">
        <v>146</v>
      </c>
      <c r="G61" t="s">
        <v>25</v>
      </c>
      <c r="H61" t="s">
        <v>26</v>
      </c>
      <c r="K61" t="s">
        <v>27</v>
      </c>
      <c r="L61" t="s">
        <v>28</v>
      </c>
      <c r="M61">
        <v>0.1</v>
      </c>
      <c r="N61">
        <v>10</v>
      </c>
      <c r="O61">
        <v>8</v>
      </c>
      <c r="P61" t="s">
        <v>143</v>
      </c>
      <c r="Q61" t="s">
        <v>27</v>
      </c>
      <c r="R61" t="s">
        <v>28</v>
      </c>
      <c r="S61">
        <v>1</v>
      </c>
      <c r="T61">
        <v>3</v>
      </c>
      <c r="U61">
        <v>0</v>
      </c>
      <c r="V61">
        <v>20</v>
      </c>
      <c r="W61">
        <v>0</v>
      </c>
      <c r="X61" t="s">
        <v>135</v>
      </c>
    </row>
    <row r="62" spans="3:24" s="9" customFormat="1" x14ac:dyDescent="0.25">
      <c r="C62" s="9">
        <f t="shared" si="3"/>
        <v>61</v>
      </c>
      <c r="E62" s="9" t="str">
        <f t="shared" si="5"/>
        <v>61 GICS-beta3m (beta3m+ Longi.beta3m&gt;2.5)</v>
      </c>
      <c r="F62" s="9" t="s">
        <v>146</v>
      </c>
      <c r="G62" s="9" t="s">
        <v>25</v>
      </c>
      <c r="H62" s="9" t="s">
        <v>26</v>
      </c>
      <c r="K62" s="9" t="s">
        <v>27</v>
      </c>
      <c r="L62" s="9" t="s">
        <v>28</v>
      </c>
      <c r="M62" s="9">
        <v>0.1</v>
      </c>
      <c r="N62" s="9">
        <v>10</v>
      </c>
      <c r="O62" s="9">
        <v>10</v>
      </c>
      <c r="P62" s="9" t="s">
        <v>143</v>
      </c>
      <c r="Q62" s="9" t="s">
        <v>27</v>
      </c>
      <c r="R62" s="9" t="s">
        <v>28</v>
      </c>
      <c r="S62" s="9">
        <v>1</v>
      </c>
      <c r="T62" s="9">
        <v>3</v>
      </c>
      <c r="U62" s="9">
        <v>0</v>
      </c>
      <c r="V62" s="9">
        <v>20</v>
      </c>
      <c r="W62" s="9">
        <v>0</v>
      </c>
      <c r="X62" s="9" t="s">
        <v>135</v>
      </c>
    </row>
    <row r="63" spans="3:24" x14ac:dyDescent="0.25">
      <c r="C63">
        <f t="shared" si="3"/>
        <v>62</v>
      </c>
      <c r="E63" t="str">
        <f t="shared" si="5"/>
        <v>62 GICS-beta3m (beta3m+ Longi.rank&lt;1000)</v>
      </c>
      <c r="F63" t="s">
        <v>149</v>
      </c>
      <c r="G63" t="s">
        <v>25</v>
      </c>
      <c r="H63" t="s">
        <v>26</v>
      </c>
      <c r="K63" t="s">
        <v>27</v>
      </c>
      <c r="L63" t="s">
        <v>28</v>
      </c>
      <c r="M63">
        <v>0.15</v>
      </c>
      <c r="N63">
        <v>10</v>
      </c>
      <c r="O63">
        <v>4</v>
      </c>
      <c r="P63" t="s">
        <v>132</v>
      </c>
      <c r="Q63" t="s">
        <v>27</v>
      </c>
      <c r="R63" t="s">
        <v>28</v>
      </c>
      <c r="S63">
        <v>1</v>
      </c>
      <c r="T63">
        <v>3</v>
      </c>
      <c r="U63">
        <v>0</v>
      </c>
      <c r="V63">
        <v>20</v>
      </c>
      <c r="W63">
        <v>0</v>
      </c>
      <c r="X63" t="s">
        <v>147</v>
      </c>
    </row>
    <row r="64" spans="3:24" x14ac:dyDescent="0.25">
      <c r="C64">
        <f t="shared" si="3"/>
        <v>63</v>
      </c>
      <c r="E64" t="str">
        <f t="shared" si="5"/>
        <v>63 GICS-beta3m (beta3m+ Longi.beta3m&gt;2.5)</v>
      </c>
      <c r="F64" t="s">
        <v>149</v>
      </c>
      <c r="G64" t="s">
        <v>25</v>
      </c>
      <c r="H64" t="s">
        <v>26</v>
      </c>
      <c r="K64" t="s">
        <v>27</v>
      </c>
      <c r="L64" t="s">
        <v>28</v>
      </c>
      <c r="M64">
        <v>0.15</v>
      </c>
      <c r="N64">
        <v>10</v>
      </c>
      <c r="O64">
        <v>4</v>
      </c>
      <c r="P64" t="s">
        <v>143</v>
      </c>
      <c r="Q64" t="s">
        <v>27</v>
      </c>
      <c r="R64" t="s">
        <v>28</v>
      </c>
      <c r="S64">
        <v>1</v>
      </c>
      <c r="T64">
        <v>3</v>
      </c>
      <c r="U64">
        <v>0</v>
      </c>
      <c r="V64">
        <v>20</v>
      </c>
      <c r="W64">
        <v>0</v>
      </c>
      <c r="X64" t="s">
        <v>147</v>
      </c>
    </row>
    <row r="65" spans="1:24" x14ac:dyDescent="0.25">
      <c r="C65">
        <f t="shared" si="3"/>
        <v>64</v>
      </c>
      <c r="E65" t="str">
        <f t="shared" si="5"/>
        <v>64 GICS-beta3m (beta3m+ Longi.rank&lt;1000)</v>
      </c>
      <c r="F65" t="s">
        <v>149</v>
      </c>
      <c r="G65" t="s">
        <v>25</v>
      </c>
      <c r="H65" t="s">
        <v>26</v>
      </c>
      <c r="K65" t="s">
        <v>27</v>
      </c>
      <c r="L65" t="s">
        <v>28</v>
      </c>
      <c r="M65">
        <v>0.15</v>
      </c>
      <c r="N65">
        <v>10</v>
      </c>
      <c r="O65">
        <v>4</v>
      </c>
      <c r="P65" t="s">
        <v>132</v>
      </c>
      <c r="Q65" t="s">
        <v>27</v>
      </c>
      <c r="R65" t="s">
        <v>28</v>
      </c>
      <c r="S65">
        <v>1</v>
      </c>
      <c r="T65">
        <v>3</v>
      </c>
      <c r="U65">
        <v>-20</v>
      </c>
      <c r="V65">
        <v>20</v>
      </c>
      <c r="W65">
        <v>0</v>
      </c>
      <c r="X65" t="s">
        <v>147</v>
      </c>
    </row>
    <row r="66" spans="1:24" x14ac:dyDescent="0.25">
      <c r="C66">
        <f t="shared" si="3"/>
        <v>65</v>
      </c>
      <c r="E66" t="str">
        <f t="shared" si="5"/>
        <v>65 GICS-beta3m (beta3m+ Longi.beta3m&gt;2.5)</v>
      </c>
      <c r="F66" t="s">
        <v>149</v>
      </c>
      <c r="G66" t="s">
        <v>25</v>
      </c>
      <c r="H66" t="s">
        <v>26</v>
      </c>
      <c r="K66" t="s">
        <v>27</v>
      </c>
      <c r="L66" t="s">
        <v>28</v>
      </c>
      <c r="M66">
        <v>0.15</v>
      </c>
      <c r="N66">
        <v>10</v>
      </c>
      <c r="O66">
        <v>4</v>
      </c>
      <c r="P66" t="s">
        <v>143</v>
      </c>
      <c r="Q66" t="s">
        <v>27</v>
      </c>
      <c r="R66" t="s">
        <v>28</v>
      </c>
      <c r="S66">
        <v>1</v>
      </c>
      <c r="T66">
        <v>3</v>
      </c>
      <c r="U66">
        <v>-20</v>
      </c>
      <c r="V66">
        <v>20</v>
      </c>
      <c r="W66">
        <v>0</v>
      </c>
      <c r="X66" t="s">
        <v>147</v>
      </c>
    </row>
    <row r="67" spans="1:24" x14ac:dyDescent="0.25">
      <c r="C67">
        <f t="shared" si="3"/>
        <v>66</v>
      </c>
      <c r="E67" t="str">
        <f t="shared" si="5"/>
        <v>66 GICS-beta3m (beta3m)</v>
      </c>
      <c r="F67" t="s">
        <v>149</v>
      </c>
      <c r="G67" t="s">
        <v>25</v>
      </c>
      <c r="H67" t="s">
        <v>26</v>
      </c>
      <c r="K67" t="s">
        <v>27</v>
      </c>
      <c r="L67" t="s">
        <v>28</v>
      </c>
      <c r="M67">
        <v>0.1</v>
      </c>
      <c r="N67">
        <v>10</v>
      </c>
      <c r="O67">
        <v>4</v>
      </c>
      <c r="Q67" t="s">
        <v>27</v>
      </c>
      <c r="R67" t="s">
        <v>28</v>
      </c>
      <c r="S67">
        <v>1</v>
      </c>
      <c r="T67">
        <v>3</v>
      </c>
      <c r="U67">
        <v>0</v>
      </c>
      <c r="V67">
        <v>20</v>
      </c>
      <c r="W67">
        <v>0</v>
      </c>
      <c r="X67" t="s">
        <v>147</v>
      </c>
    </row>
    <row r="68" spans="1:24" x14ac:dyDescent="0.25">
      <c r="C68">
        <f t="shared" si="3"/>
        <v>67</v>
      </c>
      <c r="E68" t="str">
        <f t="shared" si="5"/>
        <v>67 GICS-beta3m (beta3m+ Longi.rank&lt;1000 .and. Longi.beta3m&gt;2.5)</v>
      </c>
      <c r="F68" t="s">
        <v>149</v>
      </c>
      <c r="G68" t="s">
        <v>25</v>
      </c>
      <c r="H68" t="s">
        <v>26</v>
      </c>
      <c r="K68" t="s">
        <v>27</v>
      </c>
      <c r="L68" t="s">
        <v>28</v>
      </c>
      <c r="M68">
        <v>0.1</v>
      </c>
      <c r="N68">
        <v>10</v>
      </c>
      <c r="O68">
        <v>4</v>
      </c>
      <c r="P68" t="s">
        <v>148</v>
      </c>
      <c r="Q68" t="s">
        <v>27</v>
      </c>
      <c r="R68" t="s">
        <v>28</v>
      </c>
      <c r="S68">
        <v>1</v>
      </c>
      <c r="T68">
        <v>3</v>
      </c>
      <c r="U68">
        <v>0</v>
      </c>
      <c r="V68">
        <v>20</v>
      </c>
      <c r="W68">
        <v>0</v>
      </c>
      <c r="X68" t="s">
        <v>147</v>
      </c>
    </row>
    <row r="69" spans="1:24" s="9" customFormat="1" x14ac:dyDescent="0.25">
      <c r="C69" s="9">
        <f t="shared" si="3"/>
        <v>68</v>
      </c>
      <c r="E69" s="9" t="str">
        <f t="shared" si="5"/>
        <v>68 GICS-beta3m (beta3m+ Longi.rank&lt;1000 .and. Longi.beta3m&gt;2.5)</v>
      </c>
      <c r="F69" s="9" t="s">
        <v>149</v>
      </c>
      <c r="G69" s="9" t="s">
        <v>25</v>
      </c>
      <c r="H69" s="9" t="s">
        <v>26</v>
      </c>
      <c r="K69" s="9" t="s">
        <v>27</v>
      </c>
      <c r="L69" s="9" t="s">
        <v>28</v>
      </c>
      <c r="M69" s="9">
        <v>0.1</v>
      </c>
      <c r="N69" s="9">
        <v>10</v>
      </c>
      <c r="O69" s="9">
        <v>5</v>
      </c>
      <c r="P69" s="9" t="s">
        <v>148</v>
      </c>
      <c r="Q69" s="9" t="s">
        <v>27</v>
      </c>
      <c r="R69" s="9" t="s">
        <v>28</v>
      </c>
      <c r="S69" s="9">
        <v>1</v>
      </c>
      <c r="T69" s="9">
        <v>3</v>
      </c>
      <c r="U69" s="9">
        <v>0</v>
      </c>
      <c r="V69" s="9">
        <v>20</v>
      </c>
      <c r="W69" s="9">
        <v>0</v>
      </c>
      <c r="X69" s="9" t="s">
        <v>147</v>
      </c>
    </row>
    <row r="70" spans="1:24" x14ac:dyDescent="0.25">
      <c r="C70">
        <f>C69+1</f>
        <v>69</v>
      </c>
      <c r="D70" t="s">
        <v>152</v>
      </c>
      <c r="E70" t="str">
        <f t="shared" si="5"/>
        <v>69 GICS-beta2m (beta3m+ Longi.beta3m&gt;2.5)</v>
      </c>
      <c r="F70" t="s">
        <v>155</v>
      </c>
      <c r="G70" t="s">
        <v>25</v>
      </c>
      <c r="H70" t="s">
        <v>26</v>
      </c>
      <c r="K70" t="s">
        <v>129</v>
      </c>
      <c r="L70" t="s">
        <v>28</v>
      </c>
      <c r="M70">
        <v>0.1</v>
      </c>
      <c r="N70">
        <v>10</v>
      </c>
      <c r="O70">
        <v>4</v>
      </c>
      <c r="P70" t="s">
        <v>143</v>
      </c>
      <c r="Q70" t="s">
        <v>27</v>
      </c>
      <c r="R70" t="s">
        <v>28</v>
      </c>
      <c r="S70">
        <v>1</v>
      </c>
      <c r="T70">
        <v>3</v>
      </c>
      <c r="U70">
        <v>0</v>
      </c>
      <c r="V70">
        <v>20</v>
      </c>
      <c r="W70">
        <v>0</v>
      </c>
      <c r="X70" t="s">
        <v>135</v>
      </c>
    </row>
    <row r="71" spans="1:24" x14ac:dyDescent="0.25">
      <c r="C71">
        <f>C70+1</f>
        <v>70</v>
      </c>
      <c r="D71" t="s">
        <v>152</v>
      </c>
      <c r="E71" t="str">
        <f t="shared" si="5"/>
        <v>70 GICS-beta1m (beta3m+ Longi.beta3m&gt;2.5)</v>
      </c>
      <c r="F71" t="s">
        <v>155</v>
      </c>
      <c r="G71" t="s">
        <v>25</v>
      </c>
      <c r="H71" t="s">
        <v>26</v>
      </c>
      <c r="K71" t="s">
        <v>128</v>
      </c>
      <c r="L71" t="s">
        <v>28</v>
      </c>
      <c r="M71">
        <v>0.1</v>
      </c>
      <c r="N71">
        <v>10</v>
      </c>
      <c r="O71">
        <v>4</v>
      </c>
      <c r="P71" t="s">
        <v>143</v>
      </c>
      <c r="Q71" t="s">
        <v>27</v>
      </c>
      <c r="R71" t="s">
        <v>28</v>
      </c>
      <c r="S71">
        <v>1</v>
      </c>
      <c r="T71">
        <v>3</v>
      </c>
      <c r="U71">
        <v>0</v>
      </c>
      <c r="V71">
        <v>20</v>
      </c>
      <c r="W71">
        <v>0</v>
      </c>
      <c r="X71" t="s">
        <v>135</v>
      </c>
    </row>
    <row r="72" spans="1:24" x14ac:dyDescent="0.25">
      <c r="C72">
        <f>C71+1</f>
        <v>71</v>
      </c>
      <c r="D72" t="s">
        <v>152</v>
      </c>
      <c r="E72" t="str">
        <f t="shared" ref="E72:E73" si="6">TEXT(C72,"00") &amp; " GICS-"&amp;K72&amp;" ("&amp;Q72&amp;IF(P72&lt;&gt;"","+ ","")&amp;P72&amp;")"</f>
        <v>71 GICS-beta2m (beta3m)</v>
      </c>
      <c r="F72" t="s">
        <v>155</v>
      </c>
      <c r="G72" t="s">
        <v>25</v>
      </c>
      <c r="H72" t="s">
        <v>26</v>
      </c>
      <c r="K72" t="s">
        <v>129</v>
      </c>
      <c r="L72" t="s">
        <v>28</v>
      </c>
      <c r="M72">
        <v>0.1</v>
      </c>
      <c r="N72">
        <v>10</v>
      </c>
      <c r="O72">
        <v>4</v>
      </c>
      <c r="Q72" t="s">
        <v>27</v>
      </c>
      <c r="R72" t="s">
        <v>28</v>
      </c>
      <c r="S72">
        <v>1</v>
      </c>
      <c r="T72">
        <v>3</v>
      </c>
      <c r="U72">
        <v>0</v>
      </c>
      <c r="V72">
        <v>20</v>
      </c>
      <c r="W72">
        <v>0</v>
      </c>
      <c r="X72" t="s">
        <v>135</v>
      </c>
    </row>
    <row r="73" spans="1:24" x14ac:dyDescent="0.25">
      <c r="C73">
        <f>C72+1</f>
        <v>72</v>
      </c>
      <c r="D73" t="s">
        <v>152</v>
      </c>
      <c r="E73" t="str">
        <f t="shared" si="6"/>
        <v>72 GICS-beta1m (beta3m)</v>
      </c>
      <c r="F73" t="s">
        <v>155</v>
      </c>
      <c r="G73" t="s">
        <v>25</v>
      </c>
      <c r="H73" t="s">
        <v>26</v>
      </c>
      <c r="K73" t="s">
        <v>128</v>
      </c>
      <c r="L73" t="s">
        <v>28</v>
      </c>
      <c r="M73">
        <v>0.1</v>
      </c>
      <c r="N73">
        <v>10</v>
      </c>
      <c r="O73">
        <v>4</v>
      </c>
      <c r="Q73" t="s">
        <v>27</v>
      </c>
      <c r="R73" t="s">
        <v>28</v>
      </c>
      <c r="S73">
        <v>1</v>
      </c>
      <c r="T73">
        <v>3</v>
      </c>
      <c r="U73">
        <v>0</v>
      </c>
      <c r="V73">
        <v>20</v>
      </c>
      <c r="W73">
        <v>0</v>
      </c>
      <c r="X73" t="s">
        <v>135</v>
      </c>
    </row>
    <row r="74" spans="1:24" x14ac:dyDescent="0.25">
      <c r="C74">
        <f>C73+1</f>
        <v>73</v>
      </c>
      <c r="D74" t="s">
        <v>152</v>
      </c>
      <c r="E74" t="str">
        <f t="shared" ref="E74" si="7">TEXT(C74,"00") &amp; " GICS-"&amp;K74&amp;" ("&amp;Q74&amp;IF(P74&lt;&gt;"","+ ","")&amp;P74&amp;")"</f>
        <v>73 GICS-beta2m (beta3m)</v>
      </c>
      <c r="F74" t="s">
        <v>155</v>
      </c>
      <c r="G74" t="s">
        <v>25</v>
      </c>
      <c r="H74" t="s">
        <v>26</v>
      </c>
      <c r="K74" t="s">
        <v>129</v>
      </c>
      <c r="L74" t="s">
        <v>28</v>
      </c>
      <c r="M74">
        <v>0.1</v>
      </c>
      <c r="N74">
        <v>10</v>
      </c>
      <c r="O74">
        <v>5</v>
      </c>
      <c r="Q74" t="s">
        <v>27</v>
      </c>
      <c r="R74" t="s">
        <v>28</v>
      </c>
      <c r="S74">
        <v>1</v>
      </c>
      <c r="T74">
        <v>3</v>
      </c>
      <c r="U74">
        <v>0</v>
      </c>
      <c r="V74">
        <v>20</v>
      </c>
      <c r="W74">
        <v>0</v>
      </c>
      <c r="X74" t="s">
        <v>135</v>
      </c>
    </row>
    <row r="75" spans="1:24" x14ac:dyDescent="0.25">
      <c r="C75">
        <f t="shared" ref="C75:C88" si="8">C74+1</f>
        <v>74</v>
      </c>
      <c r="D75" t="s">
        <v>152</v>
      </c>
      <c r="E75" t="str">
        <f t="shared" ref="E75:E82" si="9">TEXT(C75,"00") &amp; " GICS-"&amp;K75&amp;" ("&amp;Q75&amp;IF(P75&lt;&gt;"","+ ","")&amp;P75&amp;")"</f>
        <v>74 GICS-beta2m (beta3m)</v>
      </c>
      <c r="F75" t="s">
        <v>154</v>
      </c>
      <c r="G75" t="s">
        <v>25</v>
      </c>
      <c r="H75" t="s">
        <v>26</v>
      </c>
      <c r="K75" t="s">
        <v>129</v>
      </c>
      <c r="L75" t="s">
        <v>28</v>
      </c>
      <c r="M75">
        <v>0.1</v>
      </c>
      <c r="N75">
        <v>10</v>
      </c>
      <c r="O75">
        <v>4</v>
      </c>
      <c r="Q75" t="s">
        <v>27</v>
      </c>
      <c r="R75" t="s">
        <v>28</v>
      </c>
      <c r="S75">
        <v>3</v>
      </c>
      <c r="T75">
        <v>3</v>
      </c>
      <c r="U75">
        <v>0</v>
      </c>
      <c r="V75">
        <v>20</v>
      </c>
      <c r="W75">
        <v>0</v>
      </c>
      <c r="X75" t="s">
        <v>135</v>
      </c>
    </row>
    <row r="76" spans="1:24" s="9" customFormat="1" x14ac:dyDescent="0.25">
      <c r="C76" s="9">
        <f t="shared" si="8"/>
        <v>75</v>
      </c>
      <c r="D76" s="9" t="s">
        <v>152</v>
      </c>
      <c r="E76" s="9" t="str">
        <f t="shared" si="9"/>
        <v>75 GICS-beta2m (beta3m)</v>
      </c>
      <c r="F76" s="9" t="s">
        <v>154</v>
      </c>
      <c r="G76" s="9" t="s">
        <v>25</v>
      </c>
      <c r="H76" s="9" t="s">
        <v>26</v>
      </c>
      <c r="K76" s="9" t="s">
        <v>129</v>
      </c>
      <c r="L76" s="9" t="s">
        <v>28</v>
      </c>
      <c r="M76" s="9">
        <v>0.1</v>
      </c>
      <c r="N76" s="9">
        <v>10</v>
      </c>
      <c r="O76" s="9">
        <v>4</v>
      </c>
      <c r="Q76" s="9" t="s">
        <v>27</v>
      </c>
      <c r="R76" s="9" t="s">
        <v>28</v>
      </c>
      <c r="S76" s="9" t="s">
        <v>153</v>
      </c>
      <c r="T76" s="9">
        <v>3</v>
      </c>
      <c r="U76" s="9">
        <v>0</v>
      </c>
      <c r="V76" s="9">
        <v>20</v>
      </c>
      <c r="W76" s="9">
        <v>0</v>
      </c>
      <c r="X76" s="9" t="s">
        <v>135</v>
      </c>
    </row>
    <row r="77" spans="1:24" x14ac:dyDescent="0.25">
      <c r="C77">
        <f t="shared" si="8"/>
        <v>76</v>
      </c>
      <c r="E77" t="str">
        <f t="shared" si="9"/>
        <v>76 GICS-beta3m (beta3m)</v>
      </c>
      <c r="F77" t="s">
        <v>164</v>
      </c>
      <c r="G77" t="s">
        <v>25</v>
      </c>
      <c r="H77" t="s">
        <v>26</v>
      </c>
      <c r="K77" t="s">
        <v>27</v>
      </c>
      <c r="L77" t="s">
        <v>28</v>
      </c>
      <c r="M77">
        <v>0.1</v>
      </c>
      <c r="N77">
        <v>10</v>
      </c>
      <c r="O77">
        <v>3</v>
      </c>
      <c r="Q77" t="s">
        <v>27</v>
      </c>
      <c r="R77" t="s">
        <v>28</v>
      </c>
      <c r="S77">
        <v>1</v>
      </c>
      <c r="T77">
        <v>3</v>
      </c>
      <c r="U77">
        <v>0</v>
      </c>
      <c r="V77">
        <v>20</v>
      </c>
      <c r="W77">
        <v>0</v>
      </c>
      <c r="X77" t="s">
        <v>161</v>
      </c>
    </row>
    <row r="78" spans="1:24" x14ac:dyDescent="0.25">
      <c r="A78" t="s">
        <v>23</v>
      </c>
      <c r="B78" t="s">
        <v>23</v>
      </c>
      <c r="C78">
        <f t="shared" si="8"/>
        <v>77</v>
      </c>
      <c r="D78" s="12" t="s">
        <v>170</v>
      </c>
      <c r="E78" t="str">
        <f t="shared" ref="E78:E79" si="10">TEXT(C78,"00") &amp; " GICS-"&amp;K78&amp;" ("&amp;Q78&amp;IF(P78&lt;&gt;"","+ ","")&amp;P78&amp;")"</f>
        <v>77 GICS-sh3m (beta3m)</v>
      </c>
      <c r="F78" t="s">
        <v>175</v>
      </c>
      <c r="G78" t="s">
        <v>25</v>
      </c>
      <c r="H78" t="s">
        <v>26</v>
      </c>
      <c r="K78" t="s">
        <v>34</v>
      </c>
      <c r="L78" t="s">
        <v>28</v>
      </c>
      <c r="M78">
        <v>0.1</v>
      </c>
      <c r="N78">
        <v>10</v>
      </c>
      <c r="O78">
        <v>3</v>
      </c>
      <c r="Q78" t="s">
        <v>27</v>
      </c>
      <c r="R78" t="s">
        <v>28</v>
      </c>
      <c r="S78">
        <v>1</v>
      </c>
      <c r="T78">
        <v>3</v>
      </c>
      <c r="U78">
        <v>-20</v>
      </c>
      <c r="V78">
        <v>20</v>
      </c>
      <c r="W78">
        <v>0</v>
      </c>
      <c r="X78" t="s">
        <v>161</v>
      </c>
    </row>
    <row r="79" spans="1:24" x14ac:dyDescent="0.25">
      <c r="C79">
        <f t="shared" si="8"/>
        <v>78</v>
      </c>
      <c r="E79" t="str">
        <f t="shared" si="10"/>
        <v>78 GICS-sh3m (beta3m+ Longi.sh3m&gt;0)</v>
      </c>
      <c r="F79" t="s">
        <v>176</v>
      </c>
      <c r="G79" t="s">
        <v>25</v>
      </c>
      <c r="H79" t="s">
        <v>26</v>
      </c>
      <c r="K79" t="s">
        <v>34</v>
      </c>
      <c r="L79" t="s">
        <v>28</v>
      </c>
      <c r="M79">
        <v>0.1</v>
      </c>
      <c r="N79">
        <v>10</v>
      </c>
      <c r="O79">
        <v>4</v>
      </c>
      <c r="P79" t="s">
        <v>173</v>
      </c>
      <c r="Q79" t="s">
        <v>27</v>
      </c>
      <c r="R79" t="s">
        <v>28</v>
      </c>
      <c r="S79">
        <v>1</v>
      </c>
      <c r="T79">
        <v>3</v>
      </c>
      <c r="U79">
        <v>0</v>
      </c>
      <c r="V79">
        <v>20</v>
      </c>
      <c r="W79">
        <v>0</v>
      </c>
      <c r="X79" t="s">
        <v>161</v>
      </c>
    </row>
    <row r="80" spans="1:24" s="9" customFormat="1" x14ac:dyDescent="0.25">
      <c r="C80" s="9">
        <f>C77+1</f>
        <v>77</v>
      </c>
      <c r="E80" s="9" t="str">
        <f t="shared" si="9"/>
        <v>77 GICS-sh3m (beta3m+ Longi.sh3m&gt;2)</v>
      </c>
      <c r="F80" s="9" t="s">
        <v>175</v>
      </c>
      <c r="G80" s="9" t="s">
        <v>25</v>
      </c>
      <c r="H80" s="9" t="s">
        <v>26</v>
      </c>
      <c r="K80" s="9" t="s">
        <v>34</v>
      </c>
      <c r="L80" s="9" t="s">
        <v>28</v>
      </c>
      <c r="M80" s="9">
        <v>0.1</v>
      </c>
      <c r="N80" s="9">
        <v>10</v>
      </c>
      <c r="O80" s="9">
        <v>4</v>
      </c>
      <c r="P80" s="9" t="s">
        <v>174</v>
      </c>
      <c r="Q80" s="9" t="s">
        <v>27</v>
      </c>
      <c r="R80" s="9" t="s">
        <v>28</v>
      </c>
      <c r="S80" s="9">
        <v>1</v>
      </c>
      <c r="T80" s="9">
        <v>3</v>
      </c>
      <c r="U80" s="9">
        <v>0</v>
      </c>
      <c r="V80" s="9">
        <v>20</v>
      </c>
      <c r="W80" s="9">
        <v>0</v>
      </c>
      <c r="X80" s="9" t="s">
        <v>161</v>
      </c>
    </row>
    <row r="81" spans="1:24" x14ac:dyDescent="0.25">
      <c r="A81" t="s">
        <v>23</v>
      </c>
      <c r="C81">
        <f t="shared" si="8"/>
        <v>78</v>
      </c>
      <c r="D81" t="s">
        <v>165</v>
      </c>
      <c r="E81" t="str">
        <f t="shared" si="9"/>
        <v>78 GICS-beta3m (sh3m)</v>
      </c>
      <c r="F81" t="s">
        <v>166</v>
      </c>
      <c r="G81" t="s">
        <v>25</v>
      </c>
      <c r="H81" t="s">
        <v>26</v>
      </c>
      <c r="K81" t="s">
        <v>27</v>
      </c>
      <c r="L81" t="s">
        <v>28</v>
      </c>
      <c r="M81">
        <v>0.1</v>
      </c>
      <c r="N81">
        <v>10</v>
      </c>
      <c r="O81">
        <v>4</v>
      </c>
      <c r="Q81" t="s">
        <v>34</v>
      </c>
      <c r="R81" t="s">
        <v>28</v>
      </c>
      <c r="S81">
        <v>1</v>
      </c>
      <c r="T81">
        <v>3</v>
      </c>
      <c r="U81">
        <v>-20</v>
      </c>
      <c r="V81">
        <v>20</v>
      </c>
      <c r="W81">
        <v>0</v>
      </c>
      <c r="X81" t="s">
        <v>161</v>
      </c>
    </row>
    <row r="82" spans="1:24" s="9" customFormat="1" x14ac:dyDescent="0.25">
      <c r="A82" s="9" t="s">
        <v>23</v>
      </c>
      <c r="C82" s="9">
        <f t="shared" si="8"/>
        <v>79</v>
      </c>
      <c r="D82" s="9" t="s">
        <v>165</v>
      </c>
      <c r="E82" s="9" t="str">
        <f t="shared" si="9"/>
        <v>79 GICS-sh3m (sh3m)</v>
      </c>
      <c r="F82" s="9" t="s">
        <v>166</v>
      </c>
      <c r="G82" s="9" t="s">
        <v>25</v>
      </c>
      <c r="H82" s="9" t="s">
        <v>26</v>
      </c>
      <c r="K82" s="9" t="s">
        <v>34</v>
      </c>
      <c r="L82" s="9" t="s">
        <v>28</v>
      </c>
      <c r="M82" s="9">
        <v>0.1</v>
      </c>
      <c r="N82" s="9">
        <v>10</v>
      </c>
      <c r="O82" s="9">
        <v>4</v>
      </c>
      <c r="Q82" s="9" t="s">
        <v>34</v>
      </c>
      <c r="R82" s="9" t="s">
        <v>28</v>
      </c>
      <c r="S82" s="9">
        <v>1</v>
      </c>
      <c r="T82" s="9">
        <v>3</v>
      </c>
      <c r="U82" s="9">
        <v>-20</v>
      </c>
      <c r="V82" s="9">
        <v>20</v>
      </c>
      <c r="W82" s="9">
        <v>0</v>
      </c>
      <c r="X82" s="9" t="s">
        <v>161</v>
      </c>
    </row>
    <row r="83" spans="1:24" x14ac:dyDescent="0.25">
      <c r="C83">
        <f t="shared" si="8"/>
        <v>80</v>
      </c>
      <c r="D83" t="s">
        <v>171</v>
      </c>
      <c r="E83" t="str">
        <f t="shared" ref="E83:E88" si="11">TEXT(C83,"00") &amp; " Sector2-"&amp;K83&amp;" ("&amp;Q83&amp;IF(P83&lt;&gt;"","+ ","")&amp;P83&amp;")"</f>
        <v>80 Sector2-beta3m (beta3m+ Longi.beta3m&gt;2)</v>
      </c>
      <c r="F83" t="s">
        <v>162</v>
      </c>
      <c r="G83" t="s">
        <v>156</v>
      </c>
      <c r="H83" t="s">
        <v>26</v>
      </c>
      <c r="K83" t="s">
        <v>27</v>
      </c>
      <c r="L83" t="s">
        <v>28</v>
      </c>
      <c r="M83">
        <v>0.1</v>
      </c>
      <c r="N83">
        <v>10</v>
      </c>
      <c r="O83">
        <v>4</v>
      </c>
      <c r="P83" t="s">
        <v>163</v>
      </c>
      <c r="Q83" t="s">
        <v>27</v>
      </c>
      <c r="R83" t="s">
        <v>28</v>
      </c>
      <c r="S83">
        <v>1</v>
      </c>
      <c r="T83">
        <v>3</v>
      </c>
      <c r="U83">
        <v>0</v>
      </c>
      <c r="V83">
        <v>20</v>
      </c>
      <c r="W83">
        <v>0</v>
      </c>
      <c r="X83" t="s">
        <v>161</v>
      </c>
    </row>
    <row r="84" spans="1:24" x14ac:dyDescent="0.25">
      <c r="C84">
        <f t="shared" si="8"/>
        <v>81</v>
      </c>
      <c r="E84" t="str">
        <f t="shared" si="11"/>
        <v>81 Sector2-quot2050 (beta3m+ Longi.beta3m&gt;2)</v>
      </c>
      <c r="F84" t="s">
        <v>158</v>
      </c>
      <c r="G84" t="s">
        <v>156</v>
      </c>
      <c r="H84" t="s">
        <v>26</v>
      </c>
      <c r="K84" t="s">
        <v>45</v>
      </c>
      <c r="L84" t="s">
        <v>28</v>
      </c>
      <c r="M84">
        <v>0.1</v>
      </c>
      <c r="N84">
        <v>10</v>
      </c>
      <c r="O84">
        <v>4</v>
      </c>
      <c r="P84" t="s">
        <v>163</v>
      </c>
      <c r="Q84" t="s">
        <v>27</v>
      </c>
      <c r="R84" t="s">
        <v>28</v>
      </c>
      <c r="S84">
        <v>1</v>
      </c>
      <c r="T84">
        <v>3</v>
      </c>
      <c r="U84">
        <v>0</v>
      </c>
      <c r="V84">
        <v>20</v>
      </c>
      <c r="W84">
        <v>0</v>
      </c>
      <c r="X84" t="s">
        <v>135</v>
      </c>
    </row>
    <row r="85" spans="1:24" x14ac:dyDescent="0.25">
      <c r="C85">
        <f t="shared" si="8"/>
        <v>82</v>
      </c>
      <c r="E85" t="str">
        <f t="shared" si="11"/>
        <v>82 Sector2-beta3m (beta3m)</v>
      </c>
      <c r="F85" t="s">
        <v>157</v>
      </c>
      <c r="G85" t="s">
        <v>156</v>
      </c>
      <c r="H85" t="s">
        <v>26</v>
      </c>
      <c r="K85" t="s">
        <v>27</v>
      </c>
      <c r="L85" t="s">
        <v>28</v>
      </c>
      <c r="M85">
        <v>0.1</v>
      </c>
      <c r="N85">
        <v>10</v>
      </c>
      <c r="O85">
        <v>4</v>
      </c>
      <c r="Q85" t="s">
        <v>27</v>
      </c>
      <c r="R85" t="s">
        <v>28</v>
      </c>
      <c r="S85">
        <v>1</v>
      </c>
      <c r="T85">
        <v>3</v>
      </c>
      <c r="U85">
        <v>0</v>
      </c>
      <c r="V85">
        <v>20</v>
      </c>
      <c r="W85">
        <v>0</v>
      </c>
      <c r="X85" t="s">
        <v>135</v>
      </c>
    </row>
    <row r="86" spans="1:24" x14ac:dyDescent="0.25">
      <c r="C86">
        <f t="shared" si="8"/>
        <v>83</v>
      </c>
      <c r="E86" t="str">
        <f t="shared" si="11"/>
        <v>83 Sector2-quot2050 (beta3m)</v>
      </c>
      <c r="F86" t="s">
        <v>158</v>
      </c>
      <c r="G86" t="s">
        <v>156</v>
      </c>
      <c r="H86" t="s">
        <v>26</v>
      </c>
      <c r="K86" t="s">
        <v>45</v>
      </c>
      <c r="L86" t="s">
        <v>28</v>
      </c>
      <c r="M86">
        <v>0.1</v>
      </c>
      <c r="N86">
        <v>10</v>
      </c>
      <c r="O86">
        <v>4</v>
      </c>
      <c r="Q86" t="s">
        <v>27</v>
      </c>
      <c r="R86" t="s">
        <v>28</v>
      </c>
      <c r="S86">
        <v>1</v>
      </c>
      <c r="T86">
        <v>3</v>
      </c>
      <c r="U86">
        <v>0</v>
      </c>
      <c r="V86">
        <v>20</v>
      </c>
      <c r="W86">
        <v>0</v>
      </c>
      <c r="X86" t="s">
        <v>135</v>
      </c>
    </row>
    <row r="87" spans="1:24" x14ac:dyDescent="0.25">
      <c r="C87">
        <f t="shared" si="8"/>
        <v>84</v>
      </c>
      <c r="D87" t="s">
        <v>172</v>
      </c>
      <c r="E87" t="str">
        <f t="shared" si="11"/>
        <v>84 Sector2-sh3m (beta3m+ Longi.beta3m&gt;2)</v>
      </c>
      <c r="F87" t="s">
        <v>167</v>
      </c>
      <c r="G87" t="s">
        <v>156</v>
      </c>
      <c r="H87" t="s">
        <v>26</v>
      </c>
      <c r="K87" t="s">
        <v>34</v>
      </c>
      <c r="L87" t="s">
        <v>28</v>
      </c>
      <c r="M87">
        <v>0.1</v>
      </c>
      <c r="N87">
        <v>10</v>
      </c>
      <c r="O87">
        <v>4</v>
      </c>
      <c r="P87" t="s">
        <v>163</v>
      </c>
      <c r="Q87" t="s">
        <v>27</v>
      </c>
      <c r="R87" t="s">
        <v>28</v>
      </c>
      <c r="S87">
        <v>1</v>
      </c>
      <c r="T87">
        <v>3</v>
      </c>
      <c r="U87">
        <v>0</v>
      </c>
      <c r="V87">
        <v>20</v>
      </c>
      <c r="W87">
        <v>0</v>
      </c>
      <c r="X87" t="s">
        <v>135</v>
      </c>
    </row>
    <row r="88" spans="1:24" s="9" customFormat="1" x14ac:dyDescent="0.25">
      <c r="C88" s="9">
        <f t="shared" si="8"/>
        <v>85</v>
      </c>
      <c r="E88" s="9" t="str">
        <f t="shared" si="11"/>
        <v>85 Sector2-sh3m (beta3m)</v>
      </c>
      <c r="F88" s="9" t="s">
        <v>159</v>
      </c>
      <c r="G88" s="9" t="s">
        <v>156</v>
      </c>
      <c r="H88" s="9" t="s">
        <v>26</v>
      </c>
      <c r="K88" s="9" t="s">
        <v>34</v>
      </c>
      <c r="L88" s="9" t="s">
        <v>28</v>
      </c>
      <c r="M88" s="9">
        <v>0.1</v>
      </c>
      <c r="N88" s="9">
        <v>10</v>
      </c>
      <c r="O88" s="9">
        <v>4</v>
      </c>
      <c r="Q88" s="9" t="s">
        <v>27</v>
      </c>
      <c r="R88" s="9" t="s">
        <v>28</v>
      </c>
      <c r="S88" s="9">
        <v>1</v>
      </c>
      <c r="T88" s="9">
        <v>3</v>
      </c>
      <c r="U88" s="9">
        <v>0</v>
      </c>
      <c r="V88" s="9">
        <v>20</v>
      </c>
      <c r="W88" s="9">
        <v>0</v>
      </c>
      <c r="X88" s="9" t="s">
        <v>161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6" customWidth="1"/>
    <col min="2" max="2" width="14" customWidth="1"/>
    <col min="3" max="3" width="90" customWidth="1"/>
  </cols>
  <sheetData>
    <row r="1" spans="1:3" x14ac:dyDescent="0.25">
      <c r="A1" s="7" t="s">
        <v>58</v>
      </c>
      <c r="B1" s="7" t="s">
        <v>59</v>
      </c>
      <c r="C1" s="7" t="s">
        <v>60</v>
      </c>
    </row>
    <row r="2" spans="1:3" ht="30" x14ac:dyDescent="0.25">
      <c r="A2" t="s">
        <v>61</v>
      </c>
      <c r="B2">
        <v>3</v>
      </c>
      <c r="C2" s="8" t="s">
        <v>62</v>
      </c>
    </row>
    <row r="3" spans="1:3" x14ac:dyDescent="0.25">
      <c r="A3" t="s">
        <v>63</v>
      </c>
      <c r="B3">
        <v>315</v>
      </c>
      <c r="C3" s="8" t="s">
        <v>64</v>
      </c>
    </row>
    <row r="4" spans="1:3" x14ac:dyDescent="0.25">
      <c r="A4" t="s">
        <v>65</v>
      </c>
      <c r="B4">
        <v>63</v>
      </c>
      <c r="C4" s="8" t="s">
        <v>66</v>
      </c>
    </row>
    <row r="5" spans="1:3" x14ac:dyDescent="0.25">
      <c r="A5" t="s">
        <v>67</v>
      </c>
      <c r="B5" t="b">
        <v>1</v>
      </c>
      <c r="C5" s="8" t="s">
        <v>68</v>
      </c>
    </row>
    <row r="6" spans="1:3" ht="30" x14ac:dyDescent="0.25">
      <c r="A6" t="s">
        <v>69</v>
      </c>
      <c r="B6">
        <v>3</v>
      </c>
      <c r="C6" s="8" t="s">
        <v>70</v>
      </c>
    </row>
    <row r="7" spans="1:3" ht="30" x14ac:dyDescent="0.25">
      <c r="A7" t="s">
        <v>71</v>
      </c>
      <c r="B7" t="s">
        <v>72</v>
      </c>
      <c r="C7" s="8" t="s">
        <v>73</v>
      </c>
    </row>
    <row r="8" spans="1:3" ht="30" x14ac:dyDescent="0.25">
      <c r="A8" t="s">
        <v>74</v>
      </c>
      <c r="B8">
        <v>5</v>
      </c>
      <c r="C8" s="8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opLeftCell="A10" workbookViewId="0">
      <selection activeCell="F18" sqref="F18"/>
    </sheetView>
  </sheetViews>
  <sheetFormatPr defaultRowHeight="15" x14ac:dyDescent="0.25"/>
  <cols>
    <col min="1" max="1" width="22" customWidth="1"/>
    <col min="2" max="2" width="6" customWidth="1"/>
    <col min="3" max="3" width="10" customWidth="1"/>
    <col min="4" max="4" width="14" customWidth="1"/>
    <col min="5" max="5" width="20" customWidth="1"/>
    <col min="6" max="6" width="90" customWidth="1"/>
  </cols>
  <sheetData>
    <row r="1" spans="1:6" x14ac:dyDescent="0.25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60</v>
      </c>
    </row>
    <row r="2" spans="1:6" ht="30" x14ac:dyDescent="0.25">
      <c r="A2" t="s">
        <v>0</v>
      </c>
      <c r="B2" t="s">
        <v>81</v>
      </c>
      <c r="C2" t="s">
        <v>82</v>
      </c>
      <c r="D2" t="s">
        <v>83</v>
      </c>
      <c r="F2" s="8" t="s">
        <v>84</v>
      </c>
    </row>
    <row r="3" spans="1:6" ht="30" x14ac:dyDescent="0.25">
      <c r="A3" t="s">
        <v>1</v>
      </c>
      <c r="B3" t="s">
        <v>81</v>
      </c>
      <c r="C3" t="s">
        <v>82</v>
      </c>
      <c r="D3" t="s">
        <v>83</v>
      </c>
      <c r="F3" s="8" t="s">
        <v>85</v>
      </c>
    </row>
    <row r="4" spans="1:6" x14ac:dyDescent="0.25">
      <c r="A4" t="s">
        <v>2</v>
      </c>
      <c r="B4" t="s">
        <v>81</v>
      </c>
      <c r="C4" t="s">
        <v>86</v>
      </c>
      <c r="F4" s="8" t="s">
        <v>87</v>
      </c>
    </row>
    <row r="5" spans="1:6" x14ac:dyDescent="0.25">
      <c r="A5" t="s">
        <v>3</v>
      </c>
      <c r="B5" t="s">
        <v>81</v>
      </c>
      <c r="C5" t="s">
        <v>86</v>
      </c>
      <c r="F5" s="8" t="s">
        <v>88</v>
      </c>
    </row>
    <row r="6" spans="1:6" ht="30" x14ac:dyDescent="0.25">
      <c r="A6" t="s">
        <v>4</v>
      </c>
      <c r="B6">
        <v>0</v>
      </c>
      <c r="C6" t="s">
        <v>89</v>
      </c>
      <c r="F6" s="8" t="s">
        <v>90</v>
      </c>
    </row>
    <row r="7" spans="1:6" x14ac:dyDescent="0.25">
      <c r="A7" t="s">
        <v>5</v>
      </c>
      <c r="B7">
        <v>1</v>
      </c>
      <c r="C7" t="s">
        <v>91</v>
      </c>
      <c r="D7" t="s">
        <v>26</v>
      </c>
      <c r="E7" t="s">
        <v>92</v>
      </c>
      <c r="F7" s="8" t="s">
        <v>93</v>
      </c>
    </row>
    <row r="8" spans="1:6" x14ac:dyDescent="0.25">
      <c r="A8" t="s">
        <v>6</v>
      </c>
      <c r="B8">
        <v>1</v>
      </c>
      <c r="C8" t="s">
        <v>94</v>
      </c>
      <c r="F8" s="8" t="s">
        <v>95</v>
      </c>
    </row>
    <row r="9" spans="1:6" x14ac:dyDescent="0.25">
      <c r="A9" t="s">
        <v>7</v>
      </c>
      <c r="B9">
        <v>1</v>
      </c>
      <c r="C9" t="s">
        <v>96</v>
      </c>
      <c r="D9" t="s">
        <v>97</v>
      </c>
      <c r="F9" s="8" t="s">
        <v>98</v>
      </c>
    </row>
    <row r="10" spans="1:6" x14ac:dyDescent="0.25">
      <c r="A10" t="s">
        <v>8</v>
      </c>
      <c r="B10">
        <v>1</v>
      </c>
      <c r="C10" t="s">
        <v>86</v>
      </c>
      <c r="D10" t="s">
        <v>32</v>
      </c>
      <c r="F10" s="8" t="s">
        <v>99</v>
      </c>
    </row>
    <row r="11" spans="1:6" x14ac:dyDescent="0.25">
      <c r="A11" t="s">
        <v>9</v>
      </c>
      <c r="B11">
        <v>1</v>
      </c>
      <c r="C11" t="s">
        <v>100</v>
      </c>
      <c r="D11" t="s">
        <v>101</v>
      </c>
      <c r="F11" s="8" t="s">
        <v>102</v>
      </c>
    </row>
    <row r="12" spans="1:6" ht="30" x14ac:dyDescent="0.25">
      <c r="A12" t="s">
        <v>10</v>
      </c>
      <c r="B12">
        <v>1</v>
      </c>
      <c r="C12" t="s">
        <v>96</v>
      </c>
      <c r="D12" t="s">
        <v>103</v>
      </c>
      <c r="F12" s="8" t="s">
        <v>104</v>
      </c>
    </row>
    <row r="13" spans="1:6" ht="60" x14ac:dyDescent="0.25">
      <c r="A13" t="s">
        <v>11</v>
      </c>
      <c r="B13">
        <v>1</v>
      </c>
      <c r="C13" t="s">
        <v>94</v>
      </c>
      <c r="D13" t="s">
        <v>105</v>
      </c>
      <c r="F13" s="8" t="s">
        <v>106</v>
      </c>
    </row>
    <row r="14" spans="1:6" ht="30" x14ac:dyDescent="0.25">
      <c r="A14" t="s">
        <v>12</v>
      </c>
      <c r="B14">
        <v>2</v>
      </c>
      <c r="C14" t="s">
        <v>94</v>
      </c>
      <c r="D14" t="s">
        <v>105</v>
      </c>
      <c r="F14" s="8" t="s">
        <v>107</v>
      </c>
    </row>
    <row r="15" spans="1:6" x14ac:dyDescent="0.25">
      <c r="A15" t="s">
        <v>13</v>
      </c>
      <c r="B15">
        <v>2</v>
      </c>
      <c r="C15" t="s">
        <v>89</v>
      </c>
      <c r="F15" s="8" t="s">
        <v>108</v>
      </c>
    </row>
    <row r="16" spans="1:6" x14ac:dyDescent="0.25">
      <c r="A16" t="s">
        <v>14</v>
      </c>
      <c r="B16">
        <v>2</v>
      </c>
      <c r="C16" t="s">
        <v>86</v>
      </c>
      <c r="D16" t="s">
        <v>32</v>
      </c>
      <c r="F16" s="8" t="s">
        <v>109</v>
      </c>
    </row>
    <row r="17" spans="1:6" x14ac:dyDescent="0.25">
      <c r="A17" t="s">
        <v>15</v>
      </c>
      <c r="B17">
        <v>2</v>
      </c>
      <c r="C17" t="s">
        <v>100</v>
      </c>
      <c r="D17" t="s">
        <v>101</v>
      </c>
      <c r="F17" s="8" t="s">
        <v>110</v>
      </c>
    </row>
    <row r="18" spans="1:6" ht="30" x14ac:dyDescent="0.25">
      <c r="A18" t="s">
        <v>16</v>
      </c>
      <c r="B18">
        <v>2</v>
      </c>
      <c r="C18" t="s">
        <v>16</v>
      </c>
      <c r="D18" t="s">
        <v>111</v>
      </c>
      <c r="F18" s="8" t="s">
        <v>112</v>
      </c>
    </row>
    <row r="19" spans="1:6" x14ac:dyDescent="0.25">
      <c r="A19" t="s">
        <v>17</v>
      </c>
      <c r="B19">
        <v>2</v>
      </c>
      <c r="C19" t="s">
        <v>94</v>
      </c>
      <c r="D19" t="s">
        <v>113</v>
      </c>
      <c r="F19" s="8" t="s">
        <v>114</v>
      </c>
    </row>
    <row r="20" spans="1:6" ht="45" x14ac:dyDescent="0.25">
      <c r="A20" t="s">
        <v>18</v>
      </c>
      <c r="B20">
        <v>2</v>
      </c>
      <c r="C20" t="s">
        <v>96</v>
      </c>
      <c r="D20" t="s">
        <v>115</v>
      </c>
      <c r="F20" s="8" t="s">
        <v>116</v>
      </c>
    </row>
    <row r="21" spans="1:6" x14ac:dyDescent="0.25">
      <c r="A21" t="s">
        <v>19</v>
      </c>
      <c r="B21">
        <v>3</v>
      </c>
      <c r="C21" t="s">
        <v>94</v>
      </c>
      <c r="D21" t="s">
        <v>117</v>
      </c>
      <c r="E21" t="s">
        <v>118</v>
      </c>
      <c r="F21" s="8" t="s">
        <v>119</v>
      </c>
    </row>
    <row r="22" spans="1:6" x14ac:dyDescent="0.25">
      <c r="A22" t="s">
        <v>20</v>
      </c>
      <c r="B22">
        <v>3</v>
      </c>
      <c r="C22" t="s">
        <v>94</v>
      </c>
      <c r="D22" t="s">
        <v>120</v>
      </c>
      <c r="F22" s="8" t="s">
        <v>121</v>
      </c>
    </row>
    <row r="23" spans="1:6" x14ac:dyDescent="0.25">
      <c r="A23" t="s">
        <v>21</v>
      </c>
      <c r="B23">
        <v>3</v>
      </c>
      <c r="C23" t="s">
        <v>122</v>
      </c>
      <c r="D23" t="s">
        <v>123</v>
      </c>
      <c r="F23" s="8" t="s">
        <v>124</v>
      </c>
    </row>
    <row r="24" spans="1:6" ht="30" x14ac:dyDescent="0.25">
      <c r="A24" t="s">
        <v>22</v>
      </c>
      <c r="B24">
        <v>4</v>
      </c>
      <c r="C24" t="s">
        <v>86</v>
      </c>
      <c r="F24" s="8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Settings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Steen Martiny</cp:lastModifiedBy>
  <dcterms:created xsi:type="dcterms:W3CDTF">2026-08-13T15:08:33Z</dcterms:created>
  <dcterms:modified xsi:type="dcterms:W3CDTF">2026-10-19T13:35:18Z</dcterms:modified>
</cp:coreProperties>
</file>